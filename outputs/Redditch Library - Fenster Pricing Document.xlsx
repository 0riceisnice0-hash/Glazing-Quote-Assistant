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965" firstSheet="0" activeTab="0" autoFilterDateGrouping="1"/>
  </bookViews>
  <sheets>
    <sheet xmlns:r="http://schemas.openxmlformats.org/officeDocument/2006/relationships" name="Pricing Document " sheetId="1" state="visible" r:id="rId1"/>
  </sheets>
  <definedNames>
    <definedName name="Access_Control">'[1]Item Budgets'!$B$156:$B$167</definedName>
    <definedName name="Audio_Visual">'[1]Item Budgets'!$B$167:$B$178</definedName>
    <definedName name="Beam">#REF!</definedName>
    <definedName name="Beams">#REF!</definedName>
    <definedName name="BeamTon">#REF!</definedName>
    <definedName name="Channel">#REF!</definedName>
    <definedName name="Channels">#REF!</definedName>
    <definedName name="ChannelTon">#REF!</definedName>
    <definedName name="CHSs">#REF!</definedName>
    <definedName name="Column">#REF!</definedName>
    <definedName name="Columns">#REF!</definedName>
    <definedName name="ColumnTon">#REF!</definedName>
    <definedName name="CONTAINMENT">'[1]Item Budgets'!$B$95:$B$111</definedName>
    <definedName name="DISTRIBUTION">'[1]Item Budgets'!$B$123:$B$134</definedName>
    <definedName name="EMERGENCY_LIGHTING">'[1]Item Budgets'!$B$23:$B$34</definedName>
    <definedName name="Equal">#REF!</definedName>
    <definedName name="EqualTon">#REF!</definedName>
    <definedName name="FIRE_ALARM">'[1]Item Budgets'!$B$112:$B$123</definedName>
    <definedName name="Heating_Interface">'[1]Item Budgets'!$B$178:$B$189</definedName>
    <definedName name="Lighting">'[1]Item Budgets'!$B$4:$B$23</definedName>
    <definedName name="LIGHTING_CONTROL">'[1]Item Budgets'!$B$34:$B$45</definedName>
    <definedName name="LIST">[1]Containment!#REF!</definedName>
    <definedName name="List1">#REF!</definedName>
    <definedName name="List2">#REF!</definedName>
    <definedName name="List3">#REF!</definedName>
    <definedName name="Mechanical_Supplies">'[1]Item Budgets'!$B$134:$B$145</definedName>
    <definedName name="MISCELLANEOUS">'[1]Item Budgets'!$B$189:$B$207</definedName>
    <definedName name="PCFTon">#REF!</definedName>
    <definedName name="PFC">#REF!</definedName>
    <definedName name="PFCs">#REF!</definedName>
    <definedName name="PFCTon">#REF!</definedName>
    <definedName name="PRELIMS">'[1]Item Budgets'!$B$207:$B$216</definedName>
    <definedName name="RHS">#REF!</definedName>
    <definedName name="RHSs">#REF!</definedName>
    <definedName name="RHSTon">#REF!</definedName>
    <definedName name="RSJ">#REF!</definedName>
    <definedName name="RSJs">#REF!</definedName>
    <definedName name="RSJTon">#REF!</definedName>
    <definedName name="SHS">#REF!</definedName>
    <definedName name="SHSs">#REF!</definedName>
    <definedName name="SHSsTon">#REF!</definedName>
    <definedName name="SHSTon">#REF!</definedName>
    <definedName name="Site_Temporaries">'[1]Item Budgets'!$B$217:$B$228</definedName>
    <definedName name="SMALL_POWER">'[1]Item Budgets'!$B$45:$B$95</definedName>
    <definedName name="Steels">#REF!</definedName>
    <definedName name="Type">#REF!,#REF!,#REF!,#REF!,#REF!,#REF!,#REF!,#REF!,#REF!</definedName>
    <definedName name="Types">'[2]Type List'!$A$2:$A$8</definedName>
    <definedName name="Unequal">#REF!</definedName>
    <definedName name="UnequalTon">#REF!</definedName>
    <definedName name="Ventilation">'[1]Item Budgets'!$B$145:$B$156</definedName>
    <definedName name="_xlnm.Print_Titles" localSheetId="0">'Pricing Document '!$2:$7</definedName>
    <definedName name="_xlnm.Print_Area" localSheetId="0">'Pricing Document '!$C$1:$I$66</definedName>
  </definedNames>
  <calcPr calcId="191029" fullCalcOnLoad="1"/>
</workbook>
</file>

<file path=xl/styles.xml><?xml version="1.0" encoding="utf-8"?>
<styleSheet xmlns="http://schemas.openxmlformats.org/spreadsheetml/2006/main">
  <numFmts count="4">
    <numFmt numFmtId="164" formatCode="_-* #,##0.00_-;\-* #,##0.00_-;_-* &quot;-&quot;??_-;_-@_-"/>
    <numFmt numFmtId="165" formatCode="&quot;£&quot;#,##0.00;[Red]\-&quot;£&quot;#,##0.00"/>
    <numFmt numFmtId="166" formatCode="_-&quot;£&quot;* #,##0.00_-;\-&quot;£&quot;* #,##0.00_-;_-&quot;£&quot;* &quot;-&quot;??_-;_-@_-"/>
    <numFmt numFmtId="167" formatCode="General_)"/>
  </numFmts>
  <fonts count="19">
    <font>
      <name val="Calibri"/>
      <family val="2"/>
      <color theme="1"/>
      <sz val="11"/>
      <scheme val="minor"/>
    </font>
    <font>
      <name val="Calibri"/>
      <family val="2"/>
      <color theme="1"/>
      <sz val="11"/>
      <scheme val="minor"/>
    </font>
    <font>
      <name val="Gill Sans"/>
      <family val="2"/>
      <sz val="10"/>
    </font>
    <font>
      <name val="Courier"/>
      <family val="3"/>
      <sz val="10"/>
    </font>
    <font>
      <name val="Arial"/>
      <family val="2"/>
      <sz val="10"/>
    </font>
    <font>
      <name val="Times New Roman"/>
      <family val="1"/>
      <color rgb="FF000000"/>
      <sz val="10"/>
    </font>
    <font>
      <name val="Times New Roman"/>
      <family val="1"/>
      <color theme="10"/>
      <sz val="10"/>
      <u val="single"/>
    </font>
    <font>
      <name val="Aptos"/>
      <family val="2"/>
      <sz val="10"/>
    </font>
    <font>
      <name val="Aptos"/>
      <family val="2"/>
      <sz val="14"/>
    </font>
    <font>
      <name val="Aptos"/>
      <family val="2"/>
      <b val="1"/>
      <color theme="0"/>
      <sz val="12"/>
    </font>
    <font>
      <name val="Aptos"/>
      <family val="2"/>
      <b val="1"/>
      <sz val="10"/>
    </font>
    <font>
      <name val="Aptos"/>
      <family val="2"/>
      <color theme="1"/>
      <sz val="11"/>
    </font>
    <font>
      <name val="Aptos"/>
      <family val="2"/>
      <b val="1"/>
      <color theme="1"/>
      <sz val="18"/>
    </font>
    <font>
      <name val="Aptos"/>
      <family val="2"/>
      <b val="1"/>
      <i val="1"/>
      <color theme="1"/>
      <sz val="11"/>
    </font>
    <font>
      <name val="Aptos"/>
      <family val="2"/>
      <i val="1"/>
      <color theme="1"/>
      <sz val="11"/>
    </font>
    <font>
      <name val="Aptos"/>
      <family val="2"/>
      <b val="1"/>
      <sz val="11"/>
    </font>
    <font>
      <name val="Aptos"/>
      <family val="2"/>
      <b val="1"/>
      <sz val="12"/>
    </font>
    <font>
      <name val="Gill Sans"/>
      <b val="1"/>
      <sz val="10"/>
    </font>
    <font>
      <name val="Aptos"/>
      <sz val="10"/>
    </font>
  </fonts>
  <fills count="4">
    <fill>
      <patternFill/>
    </fill>
    <fill>
      <patternFill patternType="gray125"/>
    </fill>
    <fill>
      <patternFill patternType="solid">
        <fgColor theme="0"/>
        <bgColor indexed="64"/>
      </patternFill>
    </fill>
    <fill>
      <patternFill patternType="solid">
        <fgColor rgb="FF002D3A"/>
        <bgColor indexed="64"/>
      </patternFill>
    </fill>
  </fills>
  <borders count="36">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hair">
        <color auto="1"/>
      </top>
      <bottom style="hair">
        <color auto="1"/>
      </bottom>
      <diagonal/>
    </border>
    <border>
      <left/>
      <right/>
      <top style="thin">
        <color auto="1"/>
      </top>
      <bottom/>
      <diagonal/>
    </border>
    <border>
      <left style="thin">
        <color indexed="64"/>
      </left>
      <right/>
      <top style="medium">
        <color indexed="64"/>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indexed="64"/>
      </bottom>
      <diagonal/>
    </border>
    <border>
      <left style="medium">
        <color indexed="64"/>
      </left>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hair">
        <color indexed="64"/>
      </bottom>
      <diagonal/>
    </border>
  </borders>
  <cellStyleXfs count="10">
    <xf numFmtId="0" fontId="1" fillId="0" borderId="0"/>
    <xf numFmtId="43" fontId="1" fillId="0" borderId="0"/>
    <xf numFmtId="167" fontId="3" fillId="0" borderId="0"/>
    <xf numFmtId="0" fontId="5" fillId="0" borderId="0"/>
    <xf numFmtId="44" fontId="5" fillId="0" borderId="0"/>
    <xf numFmtId="0" fontId="6" fillId="0" borderId="0"/>
    <xf numFmtId="0" fontId="4" fillId="0" borderId="0"/>
    <xf numFmtId="44" fontId="1" fillId="0" borderId="0"/>
    <xf numFmtId="43" fontId="1" fillId="0" borderId="0"/>
    <xf numFmtId="44" fontId="1" fillId="0" borderId="0"/>
  </cellStyleXfs>
  <cellXfs count="118">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vertical="center"/>
    </xf>
    <xf numFmtId="0" fontId="2" fillId="0" borderId="0" pivotButton="0" quotePrefix="0" xfId="0"/>
    <xf numFmtId="0" fontId="7" fillId="0" borderId="0" pivotButton="0" quotePrefix="0" xfId="0"/>
    <xf numFmtId="0" fontId="8" fillId="0" borderId="0" pivotButton="0" quotePrefix="0" xfId="0"/>
    <xf numFmtId="2" fontId="9" fillId="3" borderId="9" applyAlignment="1" pivotButton="0" quotePrefix="0" xfId="0">
      <alignment vertical="center"/>
    </xf>
    <xf numFmtId="2" fontId="9" fillId="3" borderId="16" applyAlignment="1" pivotButton="0" quotePrefix="0" xfId="0">
      <alignment vertical="center"/>
    </xf>
    <xf numFmtId="2" fontId="9" fillId="3" borderId="8" applyAlignment="1" pivotButton="0" quotePrefix="0" xfId="0">
      <alignment vertical="center"/>
    </xf>
    <xf numFmtId="0" fontId="9" fillId="3" borderId="3" applyAlignment="1" pivotButton="0" quotePrefix="0" xfId="0">
      <alignment vertical="center"/>
    </xf>
    <xf numFmtId="0" fontId="9" fillId="3" borderId="0" applyAlignment="1" pivotButton="0" quotePrefix="0" xfId="0">
      <alignment vertical="center"/>
    </xf>
    <xf numFmtId="0" fontId="9" fillId="3" borderId="4" applyAlignment="1" pivotButton="0" quotePrefix="0" xfId="0">
      <alignment vertical="center"/>
    </xf>
    <xf numFmtId="14" fontId="9" fillId="3" borderId="0" applyAlignment="1" pivotButton="0" quotePrefix="0" xfId="0">
      <alignment horizontal="left" vertical="center"/>
    </xf>
    <xf numFmtId="0" fontId="10" fillId="0" borderId="13" applyAlignment="1" pivotButton="0" quotePrefix="0" xfId="0">
      <alignment horizontal="left" wrapText="1" indent="2"/>
    </xf>
    <xf numFmtId="164" fontId="7" fillId="0" borderId="13" applyAlignment="1" pivotButton="0" quotePrefix="0" xfId="1">
      <alignment horizontal="left" vertical="center" wrapText="1" indent="1"/>
    </xf>
    <xf numFmtId="164" fontId="7" fillId="0" borderId="13" applyAlignment="1" pivotButton="0" quotePrefix="0" xfId="1">
      <alignment horizontal="left" wrapText="1"/>
    </xf>
    <xf numFmtId="164" fontId="7" fillId="0" borderId="13" applyAlignment="1" pivotButton="0" quotePrefix="0" xfId="1">
      <alignment horizontal="left" wrapText="1"/>
    </xf>
    <xf numFmtId="164" fontId="7" fillId="0" borderId="15" applyAlignment="1" pivotButton="0" quotePrefix="0" xfId="1">
      <alignment horizontal="right" vertical="center"/>
    </xf>
    <xf numFmtId="165" fontId="7" fillId="0" borderId="11" applyAlignment="1" pivotButton="0" quotePrefix="0" xfId="0">
      <alignment horizontal="center" vertical="center"/>
    </xf>
    <xf numFmtId="164" fontId="7" fillId="0" borderId="13" applyAlignment="1" pivotButton="0" quotePrefix="0" xfId="1">
      <alignment horizontal="left" vertical="center" wrapText="1" indent="1"/>
    </xf>
    <xf numFmtId="0" fontId="11" fillId="0" borderId="0" applyAlignment="1" pivotButton="0" quotePrefix="0" xfId="0">
      <alignment vertical="center"/>
    </xf>
    <xf numFmtId="0" fontId="11" fillId="0" borderId="0" pivotButton="0" quotePrefix="0" xfId="0"/>
    <xf numFmtId="9" fontId="11" fillId="0" borderId="0" pivotButton="0" quotePrefix="0" xfId="0"/>
    <xf numFmtId="0" fontId="11" fillId="0" borderId="0" applyAlignment="1" pivotButton="0" quotePrefix="0" xfId="0">
      <alignment horizontal="center" vertical="center"/>
    </xf>
    <xf numFmtId="0" fontId="13" fillId="0" borderId="0" pivotButton="0" quotePrefix="0" xfId="0"/>
    <xf numFmtId="0" fontId="14" fillId="0" borderId="0" pivotButton="0" quotePrefix="0" xfId="0"/>
    <xf numFmtId="0" fontId="12" fillId="2" borderId="18" applyAlignment="1" pivotButton="0" quotePrefix="0" xfId="0">
      <alignment horizontal="left" vertical="center"/>
    </xf>
    <xf numFmtId="0" fontId="12" fillId="2" borderId="19" applyAlignment="1" pivotButton="0" quotePrefix="0" xfId="0">
      <alignment horizontal="left" vertical="center"/>
    </xf>
    <xf numFmtId="0" fontId="12" fillId="2" borderId="19" applyAlignment="1" pivotButton="0" quotePrefix="0" xfId="0">
      <alignment vertical="top"/>
    </xf>
    <xf numFmtId="0" fontId="12" fillId="2" borderId="20" applyAlignment="1" pivotButton="0" quotePrefix="0" xfId="0">
      <alignment vertical="top"/>
    </xf>
    <xf numFmtId="0" fontId="10" fillId="2" borderId="0" applyAlignment="1" pivotButton="0" quotePrefix="0" xfId="0">
      <alignment horizontal="left" wrapText="1"/>
    </xf>
    <xf numFmtId="166" fontId="10" fillId="2" borderId="4" applyAlignment="1" pivotButton="0" quotePrefix="0" xfId="9">
      <alignment horizontal="right"/>
    </xf>
    <xf numFmtId="0" fontId="10" fillId="2" borderId="6" applyAlignment="1" pivotButton="0" quotePrefix="0" xfId="0">
      <alignment horizontal="left" wrapText="1"/>
    </xf>
    <xf numFmtId="164" fontId="10" fillId="2" borderId="7" applyAlignment="1" pivotButton="0" quotePrefix="0" xfId="1">
      <alignment horizontal="right"/>
    </xf>
    <xf numFmtId="167" fontId="10" fillId="2" borderId="17" applyAlignment="1" pivotButton="0" quotePrefix="0" xfId="2">
      <alignment horizontal="center" vertical="center"/>
    </xf>
    <xf numFmtId="4" fontId="10" fillId="2" borderId="14" applyAlignment="1" pivotButton="0" quotePrefix="0" xfId="2">
      <alignment horizontal="center" vertical="center"/>
    </xf>
    <xf numFmtId="0" fontId="10" fillId="2" borderId="10" pivotButton="0" quotePrefix="0" xfId="0"/>
    <xf numFmtId="0" fontId="10" fillId="2" borderId="1" applyAlignment="1" pivotButton="0" quotePrefix="0" xfId="0">
      <alignment horizontal="left" wrapText="1"/>
    </xf>
    <xf numFmtId="164" fontId="10" fillId="2" borderId="1" pivotButton="0" quotePrefix="0" xfId="1"/>
    <xf numFmtId="164" fontId="10" fillId="2" borderId="2" applyAlignment="1" pivotButton="0" quotePrefix="0" xfId="1">
      <alignment horizontal="right"/>
    </xf>
    <xf numFmtId="0" fontId="10" fillId="2" borderId="3" pivotButton="0" quotePrefix="0" xfId="0"/>
    <xf numFmtId="0" fontId="15" fillId="2" borderId="0" applyAlignment="1" pivotButton="0" quotePrefix="0" xfId="0">
      <alignment horizontal="center"/>
    </xf>
    <xf numFmtId="0" fontId="10" fillId="2" borderId="0" pivotButton="0" quotePrefix="0" xfId="0"/>
    <xf numFmtId="164" fontId="10" fillId="2" borderId="0" pivotButton="0" quotePrefix="0" xfId="1"/>
    <xf numFmtId="166" fontId="10" fillId="2" borderId="4" pivotButton="0" quotePrefix="0" xfId="9"/>
    <xf numFmtId="0" fontId="10" fillId="2" borderId="5" pivotButton="0" quotePrefix="0" xfId="0"/>
    <xf numFmtId="0" fontId="10" fillId="2" borderId="6" pivotButton="0" quotePrefix="0" xfId="0"/>
    <xf numFmtId="0" fontId="10" fillId="2" borderId="7" pivotButton="0" quotePrefix="0" xfId="0"/>
    <xf numFmtId="164" fontId="10" fillId="2" borderId="10" pivotButton="0" quotePrefix="0" xfId="1"/>
    <xf numFmtId="164" fontId="10" fillId="2" borderId="1" applyAlignment="1" pivotButton="0" quotePrefix="0" xfId="1">
      <alignment horizontal="center"/>
    </xf>
    <xf numFmtId="166" fontId="10" fillId="2" borderId="2" pivotButton="0" quotePrefix="0" xfId="9"/>
    <xf numFmtId="164" fontId="10" fillId="2" borderId="3" pivotButton="0" quotePrefix="0" xfId="1"/>
    <xf numFmtId="166" fontId="10" fillId="2" borderId="4" pivotButton="0" quotePrefix="0" xfId="9"/>
    <xf numFmtId="164" fontId="10" fillId="2" borderId="6" pivotButton="0" quotePrefix="0" xfId="1"/>
    <xf numFmtId="0" fontId="0" fillId="0" borderId="12" applyAlignment="1" pivotButton="0" quotePrefix="0" xfId="0">
      <alignment horizontal="center"/>
    </xf>
    <xf numFmtId="166" fontId="2" fillId="0" borderId="0" pivotButton="0" quotePrefix="0" xfId="9"/>
    <xf numFmtId="166" fontId="11" fillId="0" borderId="0" pivotButton="0" quotePrefix="0" xfId="9"/>
    <xf numFmtId="2" fontId="11" fillId="0" borderId="0" pivotButton="0" quotePrefix="0" xfId="0"/>
    <xf numFmtId="164" fontId="2" fillId="0" borderId="11" applyAlignment="1" pivotButton="0" quotePrefix="0" xfId="1">
      <alignment horizontal="center" vertical="center"/>
    </xf>
    <xf numFmtId="164" fontId="2" fillId="0" borderId="11" applyAlignment="1" pivotButton="0" quotePrefix="0" xfId="1">
      <alignment horizontal="right" vertical="center"/>
    </xf>
    <xf numFmtId="164" fontId="10" fillId="2" borderId="0" applyAlignment="1" pivotButton="0" quotePrefix="0" xfId="1">
      <alignment horizontal="center"/>
    </xf>
    <xf numFmtId="0" fontId="16" fillId="2" borderId="1" applyAlignment="1" pivotButton="0" quotePrefix="0" xfId="0">
      <alignment horizontal="left" vertical="center" wrapText="1"/>
    </xf>
    <xf numFmtId="0" fontId="17" fillId="0" borderId="0" applyAlignment="1" pivotButton="0" quotePrefix="0" xfId="0">
      <alignment wrapText="1"/>
    </xf>
    <xf numFmtId="0" fontId="0" fillId="0" borderId="12" applyAlignment="1" pivotButton="0" quotePrefix="0" xfId="0">
      <alignment horizontal="center" vertical="center"/>
    </xf>
    <xf numFmtId="0" fontId="7" fillId="0" borderId="23" applyAlignment="1" pivotButton="0" quotePrefix="1" xfId="0">
      <alignment horizontal="center" vertical="center" wrapText="1"/>
    </xf>
    <xf numFmtId="0" fontId="7" fillId="0" borderId="24" applyAlignment="1" pivotButton="0" quotePrefix="1" xfId="0">
      <alignment horizontal="center" vertical="center" wrapText="1"/>
    </xf>
    <xf numFmtId="167" fontId="10" fillId="2" borderId="25" applyAlignment="1" pivotButton="0" quotePrefix="0" xfId="2">
      <alignment horizontal="center" vertical="center"/>
    </xf>
    <xf numFmtId="167" fontId="10" fillId="2" borderId="26" applyAlignment="1" pivotButton="0" quotePrefix="0" xfId="2">
      <alignment horizontal="center" vertical="center"/>
    </xf>
    <xf numFmtId="0" fontId="10" fillId="0" borderId="21" applyAlignment="1" pivotButton="0" quotePrefix="0" xfId="0">
      <alignment horizontal="center" vertical="center" wrapText="1"/>
    </xf>
    <xf numFmtId="0" fontId="10" fillId="0" borderId="22" applyAlignment="1" pivotButton="0" quotePrefix="0" xfId="0">
      <alignment horizontal="center" vertical="center" wrapText="1"/>
    </xf>
    <xf numFmtId="0" fontId="7" fillId="0" borderId="23" applyAlignment="1" pivotButton="0" quotePrefix="1" xfId="0">
      <alignment horizontal="center" vertical="center"/>
    </xf>
    <xf numFmtId="0" fontId="7" fillId="0" borderId="24" applyAlignment="1" pivotButton="0" quotePrefix="1" xfId="0">
      <alignment horizontal="center" vertical="center"/>
    </xf>
    <xf numFmtId="0" fontId="10" fillId="0" borderId="23" applyAlignment="1" pivotButton="0" quotePrefix="1" xfId="0">
      <alignment horizontal="center" vertical="center" wrapText="1"/>
    </xf>
    <xf numFmtId="0" fontId="10" fillId="0" borderId="24" applyAlignment="1" pivotButton="0" quotePrefix="1" xfId="0">
      <alignment horizontal="center" vertical="center" wrapText="1"/>
    </xf>
    <xf numFmtId="164" fontId="10" fillId="2" borderId="0" applyAlignment="1" pivotButton="0" quotePrefix="0" xfId="1">
      <alignment horizontal="right"/>
    </xf>
    <xf numFmtId="164" fontId="10" fillId="2" borderId="1" applyAlignment="1" pivotButton="0" quotePrefix="0" xfId="1">
      <alignment horizontal="center"/>
    </xf>
    <xf numFmtId="0" fontId="7" fillId="0" borderId="27" applyAlignment="1" pivotButton="0" quotePrefix="1" xfId="0">
      <alignment horizontal="center" vertical="center" wrapText="1"/>
    </xf>
    <xf numFmtId="0" fontId="7" fillId="0" borderId="28" applyAlignment="1" pivotButton="0" quotePrefix="1" xfId="0">
      <alignment horizontal="center" vertical="center" wrapText="1"/>
    </xf>
    <xf numFmtId="0" fontId="18" fillId="0" borderId="24" applyAlignment="1" pivotButton="0" quotePrefix="1" xfId="0">
      <alignment horizontal="center" vertical="center"/>
    </xf>
    <xf numFmtId="0" fontId="18" fillId="0" borderId="23" applyAlignment="1" pivotButton="0" quotePrefix="1" xfId="0">
      <alignment horizontal="center" vertical="center"/>
    </xf>
    <xf numFmtId="166" fontId="11" fillId="0" borderId="0" pivotButton="0" quotePrefix="0" xfId="9"/>
    <xf numFmtId="167" fontId="10" fillId="2" borderId="33" applyAlignment="1" pivotButton="0" quotePrefix="0" xfId="2">
      <alignment horizontal="center" vertical="center"/>
    </xf>
    <xf numFmtId="0" fontId="0" fillId="0" borderId="26" pivotButton="0" quotePrefix="0" xfId="0"/>
    <xf numFmtId="167" fontId="10" fillId="2" borderId="17" applyAlignment="1" pivotButton="0" quotePrefix="0" xfId="2">
      <alignment horizontal="center" vertical="center"/>
    </xf>
    <xf numFmtId="0" fontId="10" fillId="0" borderId="35" applyAlignment="1" pivotButton="0" quotePrefix="0" xfId="0">
      <alignment horizontal="center" vertical="center" wrapText="1"/>
    </xf>
    <xf numFmtId="0" fontId="0" fillId="0" borderId="22" pivotButton="0" quotePrefix="0" xfId="0"/>
    <xf numFmtId="164" fontId="7" fillId="0" borderId="13" applyAlignment="1" pivotButton="0" quotePrefix="0" xfId="1">
      <alignment horizontal="left" vertical="center" wrapText="1" indent="1"/>
    </xf>
    <xf numFmtId="164" fontId="7" fillId="0" borderId="13" applyAlignment="1" pivotButton="0" quotePrefix="0" xfId="1">
      <alignment horizontal="left" wrapText="1"/>
    </xf>
    <xf numFmtId="164" fontId="7" fillId="0" borderId="15" applyAlignment="1" pivotButton="0" quotePrefix="0" xfId="1">
      <alignment horizontal="right" vertical="center"/>
    </xf>
    <xf numFmtId="0" fontId="18" fillId="0" borderId="32" applyAlignment="1" pivotButton="0" quotePrefix="1" xfId="0">
      <alignment horizontal="center" vertical="top" wrapText="1"/>
    </xf>
    <xf numFmtId="0" fontId="0" fillId="0" borderId="24" pivotButton="0" quotePrefix="0" xfId="0"/>
    <xf numFmtId="164" fontId="2" fillId="0" borderId="11" applyAlignment="1" pivotButton="0" quotePrefix="0" xfId="1">
      <alignment horizontal="center" vertical="center"/>
    </xf>
    <xf numFmtId="165" fontId="7" fillId="0" borderId="11" applyAlignment="1" pivotButton="0" quotePrefix="0" xfId="0">
      <alignment horizontal="center" vertical="center"/>
    </xf>
    <xf numFmtId="166" fontId="2" fillId="0" borderId="0" pivotButton="0" quotePrefix="0" xfId="9"/>
    <xf numFmtId="0" fontId="7" fillId="0" borderId="32" applyAlignment="1" pivotButton="0" quotePrefix="1" xfId="0">
      <alignment horizontal="center" vertical="top" wrapText="1"/>
    </xf>
    <xf numFmtId="164" fontId="2" fillId="0" borderId="11" applyAlignment="1" pivotButton="0" quotePrefix="0" xfId="1">
      <alignment horizontal="right" vertical="center"/>
    </xf>
    <xf numFmtId="0" fontId="10" fillId="0" borderId="32" applyAlignment="1" pivotButton="0" quotePrefix="1" xfId="0">
      <alignment horizontal="center" vertical="top" wrapText="1"/>
    </xf>
    <xf numFmtId="0" fontId="18" fillId="0" borderId="32" applyAlignment="1" pivotButton="0" quotePrefix="0" xfId="0">
      <alignment horizontal="center" vertical="top" wrapText="1"/>
    </xf>
    <xf numFmtId="0" fontId="1" fillId="0" borderId="24" pivotButton="0" quotePrefix="0" xfId="0"/>
    <xf numFmtId="0" fontId="1" fillId="0" borderId="12" applyAlignment="1" pivotButton="0" quotePrefix="0" xfId="0">
      <alignment horizontal="center"/>
    </xf>
    <xf numFmtId="164" fontId="2" fillId="0" borderId="11" applyAlignment="1" pivotButton="0" quotePrefix="0" xfId="0">
      <alignment horizontal="center" vertical="center"/>
    </xf>
    <xf numFmtId="164" fontId="7" fillId="0" borderId="13" applyAlignment="1" pivotButton="0" quotePrefix="0" xfId="0">
      <alignment horizontal="left" vertical="center" wrapText="1" indent="1"/>
    </xf>
    <xf numFmtId="164" fontId="7" fillId="0" borderId="15" applyAlignment="1" pivotButton="0" quotePrefix="0" xfId="0">
      <alignment horizontal="right" vertical="center"/>
    </xf>
    <xf numFmtId="166" fontId="2" fillId="0" borderId="0" pivotButton="0" quotePrefix="0" xfId="0"/>
    <xf numFmtId="164" fontId="10" fillId="2" borderId="10" pivotButton="0" quotePrefix="0" xfId="1"/>
    <xf numFmtId="164" fontId="10" fillId="2" borderId="1" applyAlignment="1" pivotButton="0" quotePrefix="0" xfId="1">
      <alignment horizontal="center"/>
    </xf>
    <xf numFmtId="164" fontId="10" fillId="2" borderId="1" pivotButton="0" quotePrefix="0" xfId="1"/>
    <xf numFmtId="0" fontId="0" fillId="0" borderId="1" pivotButton="0" quotePrefix="0" xfId="0"/>
    <xf numFmtId="166" fontId="10" fillId="2" borderId="2" pivotButton="0" quotePrefix="0" xfId="9"/>
    <xf numFmtId="164" fontId="10" fillId="2" borderId="3" pivotButton="0" quotePrefix="0" xfId="1"/>
    <xf numFmtId="164" fontId="10" fillId="2" borderId="0" applyAlignment="1" pivotButton="0" quotePrefix="0" xfId="1">
      <alignment horizontal="center"/>
    </xf>
    <xf numFmtId="164" fontId="10" fillId="2" borderId="0" pivotButton="0" quotePrefix="0" xfId="1"/>
    <xf numFmtId="166" fontId="10" fillId="2" borderId="4" pivotButton="0" quotePrefix="0" xfId="9"/>
    <xf numFmtId="166" fontId="10" fillId="2" borderId="4" applyAlignment="1" pivotButton="0" quotePrefix="0" xfId="9">
      <alignment horizontal="right"/>
    </xf>
    <xf numFmtId="164" fontId="10" fillId="2" borderId="6" pivotButton="0" quotePrefix="0" xfId="1"/>
    <xf numFmtId="164" fontId="10" fillId="2" borderId="7" applyAlignment="1" pivotButton="0" quotePrefix="0" xfId="1">
      <alignment horizontal="right"/>
    </xf>
    <xf numFmtId="164" fontId="10" fillId="2" borderId="2" applyAlignment="1" pivotButton="0" quotePrefix="0" xfId="1">
      <alignment horizontal="right"/>
    </xf>
    <xf numFmtId="164" fontId="10" fillId="2" borderId="0" applyAlignment="1" pivotButton="0" quotePrefix="0" xfId="1">
      <alignment horizontal="right"/>
    </xf>
  </cellXfs>
  <cellStyles count="10">
    <cellStyle name="Normal" xfId="0" builtinId="0"/>
    <cellStyle name="Comma" xfId="1" builtinId="3"/>
    <cellStyle name="Normal_Hand dug" xfId="2"/>
    <cellStyle name="Normal 5" xfId="3"/>
    <cellStyle name="Currency 2" xfId="4"/>
    <cellStyle name="Hyperlink 2" xfId="5"/>
    <cellStyle name="Normal 2" xfId="6"/>
    <cellStyle name="Currency 3" xfId="7"/>
    <cellStyle name="Comma 2" xfId="8"/>
    <cellStyle name="Currency" xfId="9"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2</col>
      <colOff>286459</colOff>
      <row>1</row>
      <rowOff>168861</rowOff>
    </from>
    <to>
      <col>4</col>
      <colOff>155090</colOff>
      <row>1</row>
      <rowOff>1222993</rowOff>
    </to>
    <pic>
      <nvPicPr>
        <cNvPr id="2"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501849" y="363171"/>
          <a:ext cx="2653740" cy="1050322"/>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2:V69"/>
  <sheetViews>
    <sheetView tabSelected="1" topLeftCell="A2" zoomScale="71" zoomScaleNormal="85" workbookViewId="0">
      <selection activeCell="C9" sqref="C9:D9"/>
    </sheetView>
  </sheetViews>
  <sheetFormatPr baseColWidth="8" defaultColWidth="8.88671875" defaultRowHeight="14.4"/>
  <cols>
    <col width="4.6640625" customWidth="1" min="1" max="1"/>
    <col width="13.6640625" customWidth="1" min="2" max="2"/>
    <col width="9.6640625" customWidth="1" style="1" min="3" max="3"/>
    <col width="30.88671875" customWidth="1" style="2" min="4" max="4"/>
    <col width="23.5546875" customWidth="1" style="2" min="5" max="5"/>
    <col width="10.88671875" customWidth="1" style="2" min="6" max="6"/>
    <col width="6.5546875" customWidth="1" style="2" min="7" max="7"/>
    <col width="10.88671875" customWidth="1" style="2" min="8" max="8"/>
    <col width="17.6640625" customWidth="1" style="1" min="9" max="9"/>
    <col width="38" bestFit="1" customWidth="1" min="10" max="10"/>
    <col width="26.88671875" customWidth="1" min="11" max="11"/>
    <col width="26.109375" customWidth="1" min="12" max="12"/>
    <col width="15.88671875" customWidth="1" min="13" max="13"/>
    <col width="17.88671875" customWidth="1" min="14" max="14"/>
    <col width="13.6640625" customWidth="1" min="15" max="15"/>
  </cols>
  <sheetData>
    <row r="1" ht="15" customHeight="1" thickBot="1"/>
    <row r="2" ht="118.5" customFormat="1" customHeight="1" s="2">
      <c r="C2" s="26" t="n"/>
      <c r="D2" s="27" t="n"/>
      <c r="E2" s="27" t="n"/>
      <c r="F2" s="28" t="n"/>
      <c r="G2" s="28" t="n"/>
      <c r="H2" s="28" t="n"/>
      <c r="I2" s="29" t="n"/>
      <c r="J2" s="20" t="n"/>
      <c r="K2" s="20" t="n"/>
      <c r="L2" s="20" t="n"/>
      <c r="M2" s="20" t="n"/>
      <c r="N2" s="20" t="n"/>
      <c r="O2" s="20" t="n"/>
      <c r="P2" s="20" t="n"/>
      <c r="Q2" s="20" t="n"/>
    </row>
    <row r="3" ht="15.6" customHeight="1">
      <c r="C3" s="6" t="inlineStr">
        <is>
          <t>Client:</t>
        </is>
      </c>
      <c r="D3" s="7" t="inlineStr">
        <is>
          <t>Pride Developments Group Ltd</t>
        </is>
      </c>
      <c r="E3" s="7" t="n"/>
      <c r="F3" s="7" t="n"/>
      <c r="G3" s="7" t="n"/>
      <c r="H3" s="7" t="n"/>
      <c r="I3" s="8" t="n"/>
      <c r="J3" s="21" t="n"/>
      <c r="K3" s="20" t="inlineStr">
        <is>
          <t>Supplier used:</t>
        </is>
      </c>
      <c r="L3" s="20" t="inlineStr">
        <is>
          <t>TBC - see clarifications</t>
        </is>
      </c>
      <c r="M3" s="80" t="n"/>
      <c r="N3" s="21" t="n"/>
      <c r="O3" s="21" t="n"/>
      <c r="P3" s="21" t="n"/>
      <c r="Q3" s="21" t="n"/>
    </row>
    <row r="4" ht="15.6" customHeight="1">
      <c r="C4" s="9" t="inlineStr">
        <is>
          <t xml:space="preserve">Project Reference: </t>
        </is>
      </c>
      <c r="D4" s="10" t="inlineStr">
        <is>
          <t>Redditch Library - BLBS0956 - window and door replacement</t>
        </is>
      </c>
      <c r="E4" s="10" t="n"/>
      <c r="F4" s="10" t="n"/>
      <c r="G4" s="10" t="n"/>
      <c r="H4" s="10" t="n"/>
      <c r="I4" s="11" t="n"/>
      <c r="J4" s="22" t="n"/>
      <c r="K4" s="21" t="n"/>
      <c r="L4" s="21" t="n"/>
      <c r="M4" s="21" t="n"/>
      <c r="N4" s="21" t="n"/>
      <c r="O4" s="21" t="n"/>
      <c r="P4" s="21" t="n"/>
      <c r="Q4" s="21" t="n"/>
    </row>
    <row r="5" ht="15.6" customHeight="1">
      <c r="C5" s="9" t="inlineStr">
        <is>
          <t>Site Address:</t>
        </is>
      </c>
      <c r="D5" s="10" t="inlineStr">
        <is>
          <t>Redditch Library, 15 Market Place, Redditch, B98 8AR</t>
        </is>
      </c>
      <c r="E5" s="10" t="n"/>
      <c r="F5" s="10" t="n"/>
      <c r="G5" s="10" t="n"/>
      <c r="H5" s="10" t="inlineStr">
        <is>
          <t>All figures exclusive of VAT and gross of 2.5% Main Contractor's Discount.</t>
        </is>
      </c>
      <c r="I5" s="11" t="n"/>
      <c r="J5" s="21" t="n"/>
      <c r="K5" s="21" t="n"/>
      <c r="L5" s="21" t="n"/>
      <c r="M5" s="21" t="n"/>
      <c r="N5" s="21" t="n"/>
      <c r="O5" s="21" t="n"/>
      <c r="P5" s="21" t="n"/>
      <c r="Q5" s="21" t="n"/>
    </row>
    <row r="6" ht="16.2" customHeight="1" thickBot="1">
      <c r="C6" s="9" t="inlineStr">
        <is>
          <t>Date:</t>
        </is>
      </c>
      <c r="D6" s="12" t="inlineStr">
        <is>
          <t>28/07/2026</t>
        </is>
      </c>
      <c r="E6" s="10" t="n"/>
      <c r="F6" s="10" t="n"/>
      <c r="G6" s="10" t="n"/>
      <c r="H6" s="10" t="n"/>
      <c r="I6" s="11" t="n"/>
      <c r="J6" s="21" t="n"/>
      <c r="K6" s="21" t="n"/>
      <c r="L6" s="21" t="n"/>
      <c r="M6" s="21" t="n"/>
      <c r="N6" s="21" t="n"/>
      <c r="O6" s="21" t="n"/>
      <c r="P6" s="4" t="n"/>
      <c r="Q6" s="4" t="n"/>
      <c r="R6" s="3" t="n"/>
      <c r="S6" s="3" t="n"/>
      <c r="T6" s="3" t="n"/>
      <c r="U6" s="3" t="n"/>
      <c r="V6" s="3" t="n"/>
    </row>
    <row r="7" ht="15" customFormat="1" customHeight="1" s="3" thickBot="1">
      <c r="C7" s="81" t="inlineStr">
        <is>
          <t>Description</t>
        </is>
      </c>
      <c r="D7" s="82" t="n"/>
      <c r="E7" s="83" t="inlineStr">
        <is>
          <t xml:space="preserve">Size </t>
        </is>
      </c>
      <c r="F7" s="83" t="inlineStr">
        <is>
          <t>Qty</t>
        </is>
      </c>
      <c r="G7" s="83" t="inlineStr">
        <is>
          <t>Unit</t>
        </is>
      </c>
      <c r="H7" s="83" t="inlineStr">
        <is>
          <t>Unit Rate</t>
        </is>
      </c>
      <c r="I7" s="35" t="inlineStr">
        <is>
          <t>Total</t>
        </is>
      </c>
      <c r="J7" s="4" t="n"/>
      <c r="K7" s="4" t="n"/>
      <c r="L7" s="4" t="n"/>
      <c r="M7" s="4" t="n"/>
      <c r="N7" s="4" t="n"/>
      <c r="O7" s="4" t="n"/>
      <c r="P7" s="4" t="n"/>
      <c r="Q7" s="4" t="n"/>
    </row>
    <row r="8" ht="27.75" customFormat="1" customHeight="1" s="3">
      <c r="B8" s="62" t="inlineStr">
        <is>
          <t>PRODUCT CODES</t>
        </is>
      </c>
      <c r="C8" s="84" t="inlineStr">
        <is>
          <t>SMA Smart Wall</t>
        </is>
      </c>
      <c r="D8" s="85" t="n"/>
      <c r="E8" s="13" t="n"/>
      <c r="F8" s="86" t="n"/>
      <c r="G8" s="87" t="n"/>
      <c r="H8" s="87" t="n"/>
      <c r="I8" s="88" t="n"/>
      <c r="J8" s="4" t="inlineStr">
        <is>
          <t>Frames</t>
        </is>
      </c>
      <c r="K8" s="4" t="inlineStr">
        <is>
          <t xml:space="preserve">Glass </t>
        </is>
      </c>
      <c r="L8" s="4" t="inlineStr">
        <is>
          <t xml:space="preserve">Additional </t>
        </is>
      </c>
      <c r="M8" s="4" t="inlineStr">
        <is>
          <t>CW</t>
        </is>
      </c>
      <c r="N8" s="4" t="inlineStr">
        <is>
          <t>CW LABOUR</t>
        </is>
      </c>
      <c r="O8" s="21" t="inlineStr">
        <is>
          <t>CW SQM</t>
        </is>
      </c>
      <c r="P8" s="4" t="n"/>
      <c r="Q8" s="4" t="n"/>
    </row>
    <row r="9" ht="24" customFormat="1" customHeight="1" s="3">
      <c r="B9" s="4" t="inlineStr">
        <is>
          <t>MAW</t>
        </is>
      </c>
      <c r="C9" s="89" t="inlineStr">
        <is>
          <t>Ref 1 - Aluminium window: 1 fixed light, 1 infill panel</t>
        </is>
      </c>
      <c r="D9" s="90" t="n"/>
      <c r="E9" s="54" t="inlineStr">
        <is>
          <t>1800 x 2000</t>
        </is>
      </c>
      <c r="F9" s="91" t="n">
        <v>1</v>
      </c>
      <c r="G9" s="92" t="inlineStr">
        <is>
          <t>nr</t>
        </is>
      </c>
      <c r="H9" s="86">
        <f>IF(B9="CW",
M9,
J9+K9+L9+
IF(B9="SUPD",1000*75%,
IF(B9="DUPD",1500*75%,
IF(B9="SAD",1200*75%,
IF(B9="DAD",2000*75%,
IF(B9="ELAW",850*75%,
IF(B9="LAW",650*75%,
IF(B9="MAW",550*75%,
IF(B9="SAW",450*75%,
IF(B9="LPVC",450*75%,
IF(B9="MPVC",400*75%,
IF(B9="SPVC",350*75%,
IF(B9="SADLAW",2000*75%,
IF(B9="SADMAW",1900*75%,
IF(B9="SADSAW",1700*75%,0)))))))))))))))</f>
        <v/>
      </c>
      <c r="I9" s="88">
        <f>SUM(H9*F9)</f>
        <v/>
      </c>
      <c r="J9" s="93" t="n">
        <v>1431.28</v>
      </c>
      <c r="K9" s="4" t="n"/>
      <c r="L9" s="4" t="n">
        <v>51.85</v>
      </c>
      <c r="M9" s="4">
        <f>IF(B9="CW",SUM(O9*850),0)</f>
        <v/>
      </c>
      <c r="N9" s="4">
        <f>IF(B9="CW",SUM(O9*150),0)</f>
        <v/>
      </c>
      <c r="O9" s="21">
        <f>(TRIM(LEFT(E9,FIND("x",E9)-1)) * TRIM(MID(E9,FIND("x",E9)+1,LEN(E9)))) / 1000000</f>
        <v/>
      </c>
      <c r="P9" s="4">
        <f t="array" ref="P9">SUM(F9*J9:K9)</f>
        <v/>
      </c>
      <c r="Q9" s="4" t="n"/>
    </row>
    <row r="10" ht="24" customFormat="1" customHeight="1" s="3">
      <c r="B10" s="4" t="inlineStr">
        <is>
          <t>MAW</t>
        </is>
      </c>
      <c r="C10" s="94" t="inlineStr">
        <is>
          <t>Ref 2 - Aluminium window: 1 fixed light, 1 infill panel</t>
        </is>
      </c>
      <c r="D10" s="90" t="n"/>
      <c r="E10" s="54" t="inlineStr">
        <is>
          <t>1800 x 2000</t>
        </is>
      </c>
      <c r="F10" s="91" t="n">
        <v>1</v>
      </c>
      <c r="G10" s="92" t="inlineStr">
        <is>
          <t>nr</t>
        </is>
      </c>
      <c r="H10" s="86">
        <f>IF(B10="CW",
M10,
J10+K10+L10+
IF(B10="SUPD",1000*75%,
IF(B10="DUPD",1500*75%,
IF(B10="SAD",1200*75%,
IF(B10="DAD",2000*75%,
IF(B10="ELAW",850*75%,
IF(B10="LAW",650*75%,
IF(B10="MAW",550*75%,
IF(B10="SAW",450*75%,
IF(B10="LPVC",450*75%,
IF(B10="MPVC",400*75%,
IF(B10="SPVC",350*75%,
IF(B10="SADLAW",2000*75%,
IF(B10="SADMAW",1900*75%,
IF(B10="SADSAW",1700*75%,0)))))))))))))))</f>
        <v/>
      </c>
      <c r="I10" s="88">
        <f>SUM(H10*F10)</f>
        <v/>
      </c>
      <c r="J10" s="93" t="n">
        <v>1431.28</v>
      </c>
      <c r="K10" s="4" t="n"/>
      <c r="L10" s="4" t="n">
        <v>51.85</v>
      </c>
      <c r="M10" s="4">
        <f>IF(B10="CW",SUM(O10*850),0)</f>
        <v/>
      </c>
      <c r="N10" s="4">
        <f>IF(B10="CW",SUM(O10*150),0)</f>
        <v/>
      </c>
      <c r="O10" s="21">
        <f>(TRIM(LEFT(E10,FIND("x",E10)-1)) * TRIM(MID(E10,FIND("x",E10)+1,LEN(E10)))) / 1000000</f>
        <v/>
      </c>
      <c r="P10" s="4">
        <f t="array" ref="P10">SUM(F10*J10:K10)</f>
        <v/>
      </c>
      <c r="Q10" s="4" t="n"/>
    </row>
    <row r="11" ht="24" customFormat="1" customHeight="1" s="3">
      <c r="B11" s="4" t="inlineStr">
        <is>
          <t>MAW</t>
        </is>
      </c>
      <c r="C11" s="94" t="inlineStr">
        <is>
          <t>Ref 3 - Aluminium window: 2 fixed lights, 2 infill panels</t>
        </is>
      </c>
      <c r="D11" s="90" t="n"/>
      <c r="E11" s="54" t="inlineStr">
        <is>
          <t>2650 x 1800</t>
        </is>
      </c>
      <c r="F11" s="91" t="n">
        <v>1</v>
      </c>
      <c r="G11" s="92" t="inlineStr">
        <is>
          <t>nr</t>
        </is>
      </c>
      <c r="H11" s="86">
        <f>IF(B11="CW",
M11,
J11+K11+L11+
IF(B11="SUPD",1000*75%,
IF(B11="DUPD",1500*75%,
IF(B11="SAD",1200*75%,
IF(B11="DAD",2000*75%,
IF(B11="ELAW",850*75%,
IF(B11="LAW",650*75%,
IF(B11="MAW",550*75%,
IF(B11="SAW",450*75%,
IF(B11="LPVC",450*75%,
IF(B11="MPVC",400*75%,
IF(B11="SPVC",350*75%,
IF(B11="SADLAW",2000*75%,
IF(B11="SADMAW",1900*75%,
IF(B11="SADSAW",1700*75%,0)))))))))))))))</f>
        <v/>
      </c>
      <c r="I11" s="88">
        <f>SUM(H11*F11)</f>
        <v/>
      </c>
      <c r="J11" s="93" t="n">
        <v>1690.1</v>
      </c>
      <c r="K11" s="4" t="n"/>
      <c r="L11" s="4" t="n">
        <v>59.13</v>
      </c>
      <c r="M11" s="4">
        <f>IF(B11="CW",SUM(O11*850),0)</f>
        <v/>
      </c>
      <c r="N11" s="4">
        <f>IF(B11="CW",SUM(O11*150),0)</f>
        <v/>
      </c>
      <c r="O11" s="21">
        <f>(TRIM(LEFT(E11,FIND("x",E11)-1)) * TRIM(MID(E11,FIND("x",E11)+1,LEN(E11)))) / 1000000</f>
        <v/>
      </c>
      <c r="P11" s="4">
        <f t="array" ref="P11">SUM(F11*J11:K11)</f>
        <v/>
      </c>
      <c r="Q11" s="4" t="n"/>
    </row>
    <row r="12" ht="24" customFormat="1" customHeight="1" s="3">
      <c r="B12" s="4" t="inlineStr">
        <is>
          <t>MAW</t>
        </is>
      </c>
      <c r="C12" s="94" t="inlineStr">
        <is>
          <t>Ref 4 - Aluminium window: 2 fixed lights, 2 infill panels</t>
        </is>
      </c>
      <c r="D12" s="90" t="n"/>
      <c r="E12" s="54" t="inlineStr">
        <is>
          <t>2650 x 1800</t>
        </is>
      </c>
      <c r="F12" s="91" t="n">
        <v>1</v>
      </c>
      <c r="G12" s="92" t="inlineStr">
        <is>
          <t>nr</t>
        </is>
      </c>
      <c r="H12" s="86">
        <f>IF(B12="CW",
M12,
J12+K12+L12+
IF(B12="SUPD",1000*75%,
IF(B12="DUPD",1500*75%,
IF(B12="SAD",1200*75%,
IF(B12="DAD",2000*75%,
IF(B12="ELAW",850*75%,
IF(B12="LAW",650*75%,
IF(B12="MAW",550*75%,
IF(B12="SAW",450*75%,
IF(B12="LPVC",450*75%,
IF(B12="MPVC",400*75%,
IF(B12="SPVC",350*75%,
IF(B12="SADLAW",2000*75%,
IF(B12="SADMAW",1900*75%,
IF(B12="SADSAW",1700*75%,0)))))))))))))))</f>
        <v/>
      </c>
      <c r="I12" s="88">
        <f>SUM(H12*F12)</f>
        <v/>
      </c>
      <c r="J12" s="93" t="n">
        <v>1690.1</v>
      </c>
      <c r="K12" s="4" t="n"/>
      <c r="L12" s="4" t="n">
        <v>59.13</v>
      </c>
      <c r="M12" s="4">
        <f>IF(B12="CW",SUM(O12*850),0)</f>
        <v/>
      </c>
      <c r="N12" s="4">
        <f>IF(B12="CW",SUM(O12*150),0)</f>
        <v/>
      </c>
      <c r="O12" s="21">
        <f>(TRIM(LEFT(E12,FIND("x",E12)-1)) * TRIM(MID(E12,FIND("x",E12)+1,LEN(E12)))) / 1000000</f>
        <v/>
      </c>
      <c r="P12" s="4">
        <f t="array" ref="P12">SUM(F12*J12:K12)</f>
        <v/>
      </c>
      <c r="Q12" s="4" t="n"/>
    </row>
    <row r="13" ht="24" customFormat="1" customHeight="1" s="3">
      <c r="B13" s="4" t="inlineStr">
        <is>
          <t>MAW</t>
        </is>
      </c>
      <c r="C13" s="94" t="inlineStr">
        <is>
          <t>Ref 5 - Aluminium window: 2 fixed lights, 2 infill panels</t>
        </is>
      </c>
      <c r="D13" s="90" t="n"/>
      <c r="E13" s="54" t="inlineStr">
        <is>
          <t>2650 x 1800</t>
        </is>
      </c>
      <c r="F13" s="91" t="n">
        <v>1</v>
      </c>
      <c r="G13" s="92" t="inlineStr">
        <is>
          <t>nr</t>
        </is>
      </c>
      <c r="H13" s="86">
        <f>IF(B13="CW",
M13,
J13+K13+L13+
IF(B13="SUPD",1000*75%,
IF(B13="DUPD",1500*75%,
IF(B13="SAD",1200*75%,
IF(B13="DAD",2000*75%,
IF(B13="ELAW",850*75%,
IF(B13="LAW",650*75%,
IF(B13="MAW",550*75%,
IF(B13="SAW",450*75%,
IF(B13="LPVC",450*75%,
IF(B13="MPVC",400*75%,
IF(B13="SPVC",350*75%,
IF(B13="SADLAW",2000*75%,
IF(B13="SADMAW",1900*75%,
IF(B13="SADSAW",1700*75%,0)))))))))))))))</f>
        <v/>
      </c>
      <c r="I13" s="88">
        <f>SUM(H13*F13)</f>
        <v/>
      </c>
      <c r="J13" s="93" t="n">
        <v>1690.1</v>
      </c>
      <c r="K13" s="4" t="n"/>
      <c r="L13" s="4" t="n">
        <v>59.13</v>
      </c>
      <c r="M13" s="4">
        <f>IF(B13="CW",SUM(O13*850),0)</f>
        <v/>
      </c>
      <c r="N13" s="4">
        <f>IF(B13="CW",SUM(O13*150),0)</f>
        <v/>
      </c>
      <c r="O13" s="21">
        <f>(TRIM(LEFT(E13,FIND("x",E13)-1)) * TRIM(MID(E13,FIND("x",E13)+1,LEN(E13)))) / 1000000</f>
        <v/>
      </c>
      <c r="P13" s="4">
        <f t="array" ref="P13">SUM(F13*J13:K13)</f>
        <v/>
      </c>
      <c r="Q13" s="4" t="n"/>
    </row>
    <row r="14" ht="24" customFormat="1" customHeight="1" s="3">
      <c r="B14" s="4" t="inlineStr">
        <is>
          <t>MAW</t>
        </is>
      </c>
      <c r="C14" s="94" t="inlineStr">
        <is>
          <t>Ref 6 - Aluminium window: 2 fixed lights, 2 infill panels</t>
        </is>
      </c>
      <c r="D14" s="90" t="n"/>
      <c r="E14" s="54" t="inlineStr">
        <is>
          <t>2650 x 1800</t>
        </is>
      </c>
      <c r="F14" s="95" t="n">
        <v>1</v>
      </c>
      <c r="G14" s="92" t="inlineStr">
        <is>
          <t>nr</t>
        </is>
      </c>
      <c r="H14" s="86">
        <f>IF(B14="CW",
M14,
J14+K14+L14+
IF(B14="SUPD",1000*75%,
IF(B14="DUPD",1500*75%,
IF(B14="SAD",1200*75%,
IF(B14="DAD",2000*75%,
IF(B14="ELAW",850*75%,
IF(B14="LAW",650*75%,
IF(B14="MAW",550*75%,
IF(B14="SAW",450*75%,
IF(B14="LPVC",450*75%,
IF(B14="MPVC",400*75%,
IF(B14="SPVC",350*75%,
IF(B14="SADLAW",2000*75%,
IF(B14="SADMAW",1900*75%,
IF(B14="SADSAW",1700*75%,0)))))))))))))))</f>
        <v/>
      </c>
      <c r="I14" s="88">
        <f>SUM(H14*F14)</f>
        <v/>
      </c>
      <c r="J14" s="93" t="n">
        <v>1690.1</v>
      </c>
      <c r="K14" s="4" t="n"/>
      <c r="L14" s="4" t="n">
        <v>59.13</v>
      </c>
      <c r="M14" s="4">
        <f>IF(B14="CW",SUM(O14*850),0)</f>
        <v/>
      </c>
      <c r="N14" s="4">
        <f>IF(B14="CW",SUM(O14*150),0)</f>
        <v/>
      </c>
      <c r="O14" s="21">
        <f>(TRIM(LEFT(E14,FIND("x",E14)-1)) * TRIM(MID(E14,FIND("x",E14)+1,LEN(E14)))) / 1000000</f>
        <v/>
      </c>
      <c r="P14" s="4">
        <f t="array" ref="P14">SUM(F14*J14:K14)</f>
        <v/>
      </c>
      <c r="Q14" s="4" t="n"/>
    </row>
    <row r="15" ht="24" customFormat="1" customHeight="1" s="3">
      <c r="B15" s="4" t="inlineStr">
        <is>
          <t>MAW</t>
        </is>
      </c>
      <c r="C15" s="96" t="inlineStr">
        <is>
          <t>Ref 7 - Aluminium window: 2 fixed lights, 2 infill panels</t>
        </is>
      </c>
      <c r="D15" s="90" t="n"/>
      <c r="E15" s="54" t="inlineStr">
        <is>
          <t>2650 x 1800</t>
        </is>
      </c>
      <c r="F15" s="95" t="n">
        <v>1</v>
      </c>
      <c r="G15" s="92" t="inlineStr">
        <is>
          <t>nr</t>
        </is>
      </c>
      <c r="H15" s="86">
        <f>IF(B15="CW",
M15,
J15+K15+L15+
IF(B15="SUPD",1000*75%,
IF(B15="DUPD",1500*75%,
IF(B15="SAD",1200*75%,
IF(B15="DAD",2000*75%,
IF(B15="ELAW",850*75%,
IF(B15="LAW",650*75%,
IF(B15="MAW",550*75%,
IF(B15="SAW",450*75%,
IF(B15="LPVC",450*75%,
IF(B15="MPVC",400*75%,
IF(B15="SPVC",350*75%,
IF(B15="SADLAW",2000*75%,
IF(B15="SADMAW",1900*75%,
IF(B15="SADSAW",1700*75%,0)))))))))))))))</f>
        <v/>
      </c>
      <c r="I15" s="88">
        <f>SUM(H15*F15)</f>
        <v/>
      </c>
      <c r="J15" s="93" t="n">
        <v>1690.1</v>
      </c>
      <c r="K15" s="4" t="n"/>
      <c r="L15" s="4" t="n">
        <v>59.13</v>
      </c>
      <c r="M15" s="4">
        <f>IF(B15="CW",SUM(O15*850),0)</f>
        <v/>
      </c>
      <c r="N15" s="4">
        <f>IF(B15="CW",SUM(O15*150),0)</f>
        <v/>
      </c>
      <c r="O15" s="21">
        <f>(TRIM(LEFT(E15,FIND("x",E15)-1)) * TRIM(MID(E15,FIND("x",E15)+1,LEN(E15)))) / 1000000</f>
        <v/>
      </c>
      <c r="P15" s="4">
        <f t="array" ref="P15">SUM(F15*J15:K15)</f>
        <v/>
      </c>
      <c r="Q15" s="4" t="n"/>
    </row>
    <row r="16" ht="24" customFormat="1" customHeight="1" s="3">
      <c r="B16" s="4" t="inlineStr">
        <is>
          <t>MAW</t>
        </is>
      </c>
      <c r="C16" s="94" t="inlineStr">
        <is>
          <t>Ref 8 - Aluminium window: 2 fixed lights, 2 infill panels</t>
        </is>
      </c>
      <c r="D16" s="90" t="n"/>
      <c r="E16" s="54" t="inlineStr">
        <is>
          <t>2650 x 1800</t>
        </is>
      </c>
      <c r="F16" s="95" t="n">
        <v>1</v>
      </c>
      <c r="G16" s="92" t="inlineStr">
        <is>
          <t>nr</t>
        </is>
      </c>
      <c r="H16" s="86">
        <f>IF(B16="CW",
M16,
J16+K16+L16+
IF(B16="SUPD",1000*75%,
IF(B16="DUPD",1500*75%,
IF(B16="SAD",1200*75%,
IF(B16="DAD",2000*75%,
IF(B16="ELAW",850*75%,
IF(B16="LAW",650*75%,
IF(B16="MAW",550*75%,
IF(B16="SAW",450*75%,
IF(B16="LPVC",450*75%,
IF(B16="MPVC",400*75%,
IF(B16="SPVC",350*75%,
IF(B16="SADLAW",2000*75%,
IF(B16="SADMAW",1900*75%,
IF(B16="SADSAW",1700*75%,0)))))))))))))))</f>
        <v/>
      </c>
      <c r="I16" s="88">
        <f>SUM(H16*F16)</f>
        <v/>
      </c>
      <c r="J16" s="93" t="n">
        <v>1690.1</v>
      </c>
      <c r="K16" s="4" t="n"/>
      <c r="L16" s="4" t="n">
        <v>59.13</v>
      </c>
      <c r="M16" s="4">
        <f>IF(B16="CW",SUM(O16*850),0)</f>
        <v/>
      </c>
      <c r="N16" s="4">
        <f>IF(B16="CW",SUM(O16*150),0)</f>
        <v/>
      </c>
      <c r="O16" s="21">
        <f>(TRIM(LEFT(E16,FIND("x",E16)-1)) * TRIM(MID(E16,FIND("x",E16)+1,LEN(E16)))) / 1000000</f>
        <v/>
      </c>
      <c r="P16" s="4">
        <f t="array" ref="P16">SUM(F16*J16:K16)</f>
        <v/>
      </c>
      <c r="Q16" s="4" t="n"/>
    </row>
    <row r="17" ht="24" customFormat="1" customHeight="1" s="3">
      <c r="B17" s="4" t="inlineStr">
        <is>
          <t>MAW</t>
        </is>
      </c>
      <c r="C17" s="94" t="inlineStr">
        <is>
          <t>Ref 9 - Aluminium window: 2 top hung opening lights</t>
        </is>
      </c>
      <c r="D17" s="90" t="n"/>
      <c r="E17" s="54" t="inlineStr">
        <is>
          <t>2248 x 1600</t>
        </is>
      </c>
      <c r="F17" s="95" t="n">
        <v>1</v>
      </c>
      <c r="G17" s="92" t="inlineStr">
        <is>
          <t>nr</t>
        </is>
      </c>
      <c r="H17" s="86">
        <f>IF(B17="CW",
M17,
J17+K17+L17+
IF(B17="SUPD",1000*75%,
IF(B17="DUPD",1500*75%,
IF(B17="SAD",1200*75%,
IF(B17="DAD",2000*75%,
IF(B17="ELAW",850*75%,
IF(B17="LAW",650*75%,
IF(B17="MAW",550*75%,
IF(B17="SAW",450*75%,
IF(B17="LPVC",450*75%,
IF(B17="MPVC",400*75%,
IF(B17="SPVC",350*75%,
IF(B17="SADLAW",2000*75%,
IF(B17="SADMAW",1900*75%,
IF(B17="SADSAW",1700*75%,0)))))))))))))))</f>
        <v/>
      </c>
      <c r="I17" s="88">
        <f>SUM(H17*F17)</f>
        <v/>
      </c>
      <c r="J17" s="93" t="n">
        <v>1430.52</v>
      </c>
      <c r="K17" s="4" t="n"/>
      <c r="L17" s="4" t="n">
        <v>51.83</v>
      </c>
      <c r="M17" s="4">
        <f>IF(B17="CW",SUM(O17*850),0)</f>
        <v/>
      </c>
      <c r="N17" s="4">
        <f>IF(B17="CW",SUM(O17*150),0)</f>
        <v/>
      </c>
      <c r="O17" s="21">
        <f>(TRIM(LEFT(E17,FIND("x",E17)-1)) * TRIM(MID(E17,FIND("x",E17)+1,LEN(E17)))) / 1000000</f>
        <v/>
      </c>
      <c r="P17" s="4">
        <f t="array" ref="P17">SUM(F17*J17:K17)</f>
        <v/>
      </c>
      <c r="Q17" s="4" t="n"/>
    </row>
    <row r="18" ht="24" customFormat="1" customHeight="1" s="3">
      <c r="B18" s="4" t="inlineStr">
        <is>
          <t>MAW</t>
        </is>
      </c>
      <c r="C18" s="94" t="inlineStr">
        <is>
          <t>Ref 10 - Aluminium window: 2 top hung opening lights</t>
        </is>
      </c>
      <c r="D18" s="90" t="n"/>
      <c r="E18" s="54" t="inlineStr">
        <is>
          <t>2248 x 1600</t>
        </is>
      </c>
      <c r="F18" s="95" t="n">
        <v>1</v>
      </c>
      <c r="G18" s="92" t="inlineStr">
        <is>
          <t>nr</t>
        </is>
      </c>
      <c r="H18" s="86">
        <f>IF(B18="CW",
M18,
J18+K18+L18+
IF(B18="SUPD",1000*75%,
IF(B18="DUPD",1500*75%,
IF(B18="SAD",1200*75%,
IF(B18="DAD",2000*75%,
IF(B18="ELAW",850*75%,
IF(B18="LAW",650*75%,
IF(B18="MAW",550*75%,
IF(B18="SAW",450*75%,
IF(B18="LPVC",450*75%,
IF(B18="MPVC",400*75%,
IF(B18="SPVC",350*75%,
IF(B18="SADLAW",2000*75%,
IF(B18="SADMAW",1900*75%,
IF(B18="SADSAW",1700*75%,0)))))))))))))))</f>
        <v/>
      </c>
      <c r="I18" s="88">
        <f>SUM(H18*F18)</f>
        <v/>
      </c>
      <c r="J18" s="93" t="n">
        <v>1430.52</v>
      </c>
      <c r="K18" s="4" t="n"/>
      <c r="L18" s="4" t="n">
        <v>51.83</v>
      </c>
      <c r="M18" s="4">
        <f>IF(B18="CW",SUM(O18*850),0)</f>
        <v/>
      </c>
      <c r="N18" s="4">
        <f>IF(B18="CW",SUM(O18*150),0)</f>
        <v/>
      </c>
      <c r="O18" s="21">
        <f>(TRIM(LEFT(E18,FIND("x",E18)-1)) * TRIM(MID(E18,FIND("x",E18)+1,LEN(E18)))) / 1000000</f>
        <v/>
      </c>
      <c r="P18" s="4">
        <f t="array" ref="P18">SUM(F18*J18:K18)</f>
        <v/>
      </c>
      <c r="Q18" s="4" t="n"/>
    </row>
    <row r="19" ht="24" customFormat="1" customHeight="1" s="3">
      <c r="B19" s="4" t="inlineStr">
        <is>
          <t>MAW</t>
        </is>
      </c>
      <c r="C19" s="96" t="inlineStr">
        <is>
          <t>Ref 11 - Aluminium window: 2 top hung opening lights</t>
        </is>
      </c>
      <c r="D19" s="90" t="n"/>
      <c r="E19" s="54" t="inlineStr">
        <is>
          <t>2248 x 1600</t>
        </is>
      </c>
      <c r="F19" s="95" t="n">
        <v>1</v>
      </c>
      <c r="G19" s="92" t="inlineStr">
        <is>
          <t>nr</t>
        </is>
      </c>
      <c r="H19" s="86">
        <f>IF(B19="CW",
M19,
J19+K19+L19+
IF(B19="SUPD",1000*75%,
IF(B19="DUPD",1500*75%,
IF(B19="SAD",1200*75%,
IF(B19="DAD",2000*75%,
IF(B19="ELAW",850*75%,
IF(B19="LAW",650*75%,
IF(B19="MAW",550*75%,
IF(B19="SAW",450*75%,
IF(B19="LPVC",450*75%,
IF(B19="MPVC",400*75%,
IF(B19="SPVC",350*75%,
IF(B19="SADLAW",2000*75%,
IF(B19="SADMAW",1900*75%,
IF(B19="SADSAW",1700*75%,0)))))))))))))))</f>
        <v/>
      </c>
      <c r="I19" s="88">
        <f>SUM(H19*F19)</f>
        <v/>
      </c>
      <c r="J19" s="93" t="n">
        <v>1430.52</v>
      </c>
      <c r="K19" s="4" t="n"/>
      <c r="L19" s="4" t="n">
        <v>51.83</v>
      </c>
      <c r="M19" s="4">
        <f>IF(B19="CW",SUM(O19*850),0)</f>
        <v/>
      </c>
      <c r="N19" s="4">
        <f>IF(B19="CW",SUM(O19*150),0)</f>
        <v/>
      </c>
      <c r="O19" s="57">
        <f>(TRIM(LEFT(E19,FIND("x",E19)-1)) * TRIM(MID(E19,FIND("x",E19)+1,LEN(E19)))) / 1000000</f>
        <v/>
      </c>
      <c r="P19" s="4">
        <f t="array" ref="P19">SUM(F19*J19:K19)</f>
        <v/>
      </c>
      <c r="Q19" s="4" t="n"/>
    </row>
    <row r="20" ht="24" customFormat="1" customHeight="1" s="3" thickBot="1">
      <c r="B20" s="4" t="inlineStr">
        <is>
          <t>MAW</t>
        </is>
      </c>
      <c r="C20" s="97" t="inlineStr">
        <is>
          <t>Ref 12 - Aluminium window: 2 top hung opening lights</t>
        </is>
      </c>
      <c r="D20" s="98" t="n"/>
      <c r="E20" s="99" t="inlineStr">
        <is>
          <t>2248 x 1600</t>
        </is>
      </c>
      <c r="F20" s="100" t="n">
        <v>1</v>
      </c>
      <c r="G20" s="92" t="inlineStr">
        <is>
          <t>nr</t>
        </is>
      </c>
      <c r="H20" s="101">
        <f>IF(B20="CW",
M20,
J20+K20+L20+
IF(B20="SUPD",1000*75%,
IF(B20="DUPD",1500*75%,
IF(B20="SAD",1200*75%,
IF(B20="DAD",2000*75%,
IF(B20="ELAW",850*75%,
IF(B20="LAW",650*75%,
IF(B20="MAW",550*75%,
IF(B20="SAW",450*75%,
IF(B20="LPVC",450*75%,
IF(B20="MPVC",400*75%,
IF(B20="SPVC",350*75%,
IF(B20="SADLAW",2000*75%,
IF(B20="SADMAW",1900*75%,
IF(B20="SADSAW",1700*75%,0)))))))))))))))</f>
        <v/>
      </c>
      <c r="I20" s="102">
        <f>SUM(H20*F20)</f>
        <v/>
      </c>
      <c r="J20" s="103" t="n">
        <v>1430.52</v>
      </c>
      <c r="K20" s="4" t="n"/>
      <c r="L20" s="4" t="n">
        <v>51.83</v>
      </c>
      <c r="M20" s="4">
        <f>IF(B20="CW",SUM(O20*850),0)</f>
        <v/>
      </c>
      <c r="N20" s="4">
        <f>IF(B20="CW",SUM(O20*150),0)</f>
        <v/>
      </c>
      <c r="O20" s="21">
        <f>(TRIM(LEFT(E20,FIND("x",E20)-1)) * TRIM(MID(E20,FIND("x",E20)+1,LEN(E20)))) / 1000000</f>
        <v/>
      </c>
      <c r="P20" s="4" t="n"/>
    </row>
    <row r="21" ht="24" customFormat="1" customHeight="1" s="3">
      <c r="B21" s="4" t="inlineStr">
        <is>
          <t>MAW</t>
        </is>
      </c>
      <c r="C21" s="97" t="inlineStr">
        <is>
          <t>Ref 13 - Aluminium window: 2 top hung opening lights</t>
        </is>
      </c>
      <c r="D21" s="90" t="n"/>
      <c r="E21" s="99" t="inlineStr">
        <is>
          <t>2248 x 1600</t>
        </is>
      </c>
      <c r="F21" s="100" t="n">
        <v>1</v>
      </c>
      <c r="G21" s="92" t="inlineStr">
        <is>
          <t>nr</t>
        </is>
      </c>
      <c r="H21" s="101">
        <f>IF(B21="CW",
M21,
J21+K21+L21+
IF(B21="SUPD",1000*75%,
IF(B21="DUPD",1500*75%,
IF(B21="SAD",1200*75%,
IF(B21="DAD",2000*75%,
IF(B21="ELAW",850*75%,
IF(B21="LAW",650*75%,
IF(B21="MAW",550*75%,
IF(B21="SAW",450*75%,
IF(B21="LPVC",450*75%,
IF(B21="MPVC",400*75%,
IF(B21="SPVC",350*75%,
IF(B21="SADLAW",2000*75%,
IF(B21="SADMAW",1900*75%,
IF(B21="SADSAW",1700*75%,0)))))))))))))))</f>
        <v/>
      </c>
      <c r="I21" s="102">
        <f>SUM(H21*F21)</f>
        <v/>
      </c>
      <c r="J21" s="103" t="n">
        <v>1430.52</v>
      </c>
      <c r="K21" s="4" t="n"/>
      <c r="L21" s="4" t="n">
        <v>51.83</v>
      </c>
      <c r="M21" s="4">
        <f>IF(B21="CW",SUM(O21*850),0)</f>
        <v/>
      </c>
      <c r="N21" s="4">
        <f>IF(B21="CW",SUM(O21*150),0)</f>
        <v/>
      </c>
      <c r="O21" s="21">
        <f>(TRIM(LEFT(E21,FIND("x",E21)-1)) * TRIM(MID(E21,FIND("x",E21)+1,LEN(E21)))) / 1000000</f>
        <v/>
      </c>
      <c r="P21" s="4" t="n"/>
    </row>
    <row r="22" ht="24" customFormat="1" customHeight="1" s="3">
      <c r="B22" s="4" t="inlineStr">
        <is>
          <t>MAW</t>
        </is>
      </c>
      <c r="C22" s="97" t="inlineStr">
        <is>
          <t>Ref 14 - Aluminium window: 2 top hung opening lights</t>
        </is>
      </c>
      <c r="D22" s="90" t="n"/>
      <c r="E22" s="99" t="inlineStr">
        <is>
          <t>2248 x 1600</t>
        </is>
      </c>
      <c r="F22" s="100" t="n">
        <v>1</v>
      </c>
      <c r="G22" s="92" t="inlineStr">
        <is>
          <t>nr</t>
        </is>
      </c>
      <c r="H22" s="101">
        <f>IF(B22="CW",
M22,
J22+K22+L22+
IF(B22="SUPD",1000*75%,
IF(B22="DUPD",1500*75%,
IF(B22="SAD",1200*75%,
IF(B22="DAD",2000*75%,
IF(B22="ELAW",850*75%,
IF(B22="LAW",650*75%,
IF(B22="MAW",550*75%,
IF(B22="SAW",450*75%,
IF(B22="LPVC",450*75%,
IF(B22="MPVC",400*75%,
IF(B22="SPVC",350*75%,
IF(B22="SADLAW",2000*75%,
IF(B22="SADMAW",1900*75%,
IF(B22="SADSAW",1700*75%,0)))))))))))))))</f>
        <v/>
      </c>
      <c r="I22" s="102">
        <f>SUM(H22*F22)</f>
        <v/>
      </c>
      <c r="J22" s="103" t="n">
        <v>1430.52</v>
      </c>
      <c r="K22" s="4" t="n"/>
      <c r="L22" s="4" t="n">
        <v>51.83</v>
      </c>
      <c r="M22" s="4">
        <f>IF(B22="CW",SUM(O22*850),0)</f>
        <v/>
      </c>
      <c r="N22" s="4">
        <f>IF(B22="CW",SUM(O22*150),0)</f>
        <v/>
      </c>
      <c r="O22" s="21">
        <f>(TRIM(LEFT(E22,FIND("x",E22)-1)) * TRIM(MID(E22,FIND("x",E22)+1,LEN(E22)))) / 1000000</f>
        <v/>
      </c>
      <c r="P22" s="4" t="n"/>
    </row>
    <row r="23" ht="24" customFormat="1" customHeight="1" s="3">
      <c r="B23" s="4" t="inlineStr">
        <is>
          <t>SAW</t>
        </is>
      </c>
      <c r="C23" s="97" t="inlineStr">
        <is>
          <t>Ref 15 - Aluminium window: 1 top hung opening light</t>
        </is>
      </c>
      <c r="D23" s="90" t="n"/>
      <c r="E23" s="99" t="inlineStr">
        <is>
          <t>900 x 1600</t>
        </is>
      </c>
      <c r="F23" s="100" t="n">
        <v>1</v>
      </c>
      <c r="G23" s="92" t="inlineStr">
        <is>
          <t>nr</t>
        </is>
      </c>
      <c r="H23" s="101">
        <f>IF(B23="CW",
M23,
J23+K23+L23+
IF(B23="SUPD",1000*75%,
IF(B23="DUPD",1500*75%,
IF(B23="SAD",1200*75%,
IF(B23="DAD",2000*75%,
IF(B23="ELAW",850*75%,
IF(B23="LAW",650*75%,
IF(B23="MAW",550*75%,
IF(B23="SAW",450*75%,
IF(B23="LPVC",450*75%,
IF(B23="MPVC",400*75%,
IF(B23="SPVC",350*75%,
IF(B23="SADLAW",2000*75%,
IF(B23="SADMAW",1900*75%,
IF(B23="SADSAW",1700*75%,0)))))))))))))))</f>
        <v/>
      </c>
      <c r="I23" s="102">
        <f>SUM(H23*F23)</f>
        <v/>
      </c>
      <c r="J23" s="103" t="n">
        <v>833.0599999999999</v>
      </c>
      <c r="K23" s="4" t="n"/>
      <c r="L23" s="4" t="n">
        <v>32.92</v>
      </c>
      <c r="M23" s="4">
        <f>IF(B23="CW",SUM(O23*850),0)</f>
        <v/>
      </c>
      <c r="N23" s="4">
        <f>IF(B23="CW",SUM(O23*150),0)</f>
        <v/>
      </c>
      <c r="O23" s="21">
        <f>(TRIM(LEFT(E23,FIND("x",E23)-1)) * TRIM(MID(E23,FIND("x",E23)+1,LEN(E23)))) / 1000000</f>
        <v/>
      </c>
      <c r="P23" s="4" t="n"/>
    </row>
    <row r="24" ht="24" customFormat="1" customHeight="1" s="3" thickBot="1">
      <c r="B24" s="4" t="inlineStr">
        <is>
          <t>MAW</t>
        </is>
      </c>
      <c r="C24" s="97" t="inlineStr">
        <is>
          <t>Ref 16 - Aluminium window: 2 fixed lights, 2 infill panels</t>
        </is>
      </c>
      <c r="D24" s="90" t="n"/>
      <c r="E24" s="99" t="inlineStr">
        <is>
          <t>2250 x 2304</t>
        </is>
      </c>
      <c r="F24" s="100" t="n">
        <v>1</v>
      </c>
      <c r="G24" s="92" t="inlineStr">
        <is>
          <t>nr</t>
        </is>
      </c>
      <c r="H24" s="101">
        <f>IF(B24="CW",
M24,
J24+K24+L24+
IF(B24="SUPD",1000*75%,
IF(B24="DUPD",1500*75%,
IF(B24="SAD",1200*75%,
IF(B24="DAD",2000*75%,
IF(B24="ELAW",850*75%,
IF(B24="LAW",650*75%,
IF(B24="MAW",550*75%,
IF(B24="SAW",450*75%,
IF(B24="LPVC",450*75%,
IF(B24="MPVC",400*75%,
IF(B24="SPVC",350*75%,
IF(B24="SADLAW",2000*75%,
IF(B24="SADMAW",1900*75%,
IF(B24="SADSAW",1700*75%,0)))))))))))))))</f>
        <v/>
      </c>
      <c r="I24" s="102">
        <f>SUM(H24*F24)</f>
        <v/>
      </c>
      <c r="J24" s="103" t="n">
        <v>1775.26</v>
      </c>
      <c r="K24" s="4" t="n"/>
      <c r="L24" s="4" t="n">
        <v>61.52</v>
      </c>
      <c r="M24" s="4">
        <f>IF(B24="CW",SUM(O24*850),0)</f>
        <v/>
      </c>
      <c r="N24" s="4">
        <f>IF(B24="CW",SUM(O24*150),0)</f>
        <v/>
      </c>
      <c r="O24" s="21">
        <f>(TRIM(LEFT(E24,FIND("x",E24)-1)) * TRIM(MID(E24,FIND("x",E24)+1,LEN(E24)))) / 1000000</f>
        <v/>
      </c>
      <c r="P24" s="4" t="n"/>
    </row>
    <row r="25" ht="24" customFormat="1" customHeight="1" s="3" thickBot="1">
      <c r="B25" s="4" t="inlineStr">
        <is>
          <t>MAW</t>
        </is>
      </c>
      <c r="C25" s="97" t="inlineStr">
        <is>
          <t>Ref 17 - Aluminium window: 2 fixed lights, 2 infill panels</t>
        </is>
      </c>
      <c r="D25" s="90" t="n"/>
      <c r="E25" s="99" t="inlineStr">
        <is>
          <t>2250 x 2304</t>
        </is>
      </c>
      <c r="F25" s="100" t="n">
        <v>1</v>
      </c>
      <c r="G25" s="92" t="inlineStr">
        <is>
          <t>nr</t>
        </is>
      </c>
      <c r="H25" s="101">
        <f>IF(B25="CW",
M25,
J25+K25+L25+
IF(B25="SUPD",1000*75%,
IF(B25="DUPD",1500*75%,
IF(B25="SAD",1200*75%,
IF(B25="DAD",2000*75%,
IF(B25="ELAW",850*75%,
IF(B25="LAW",650*75%,
IF(B25="MAW",550*75%,
IF(B25="SAW",450*75%,
IF(B25="LPVC",450*75%,
IF(B25="MPVC",400*75%,
IF(B25="SPVC",350*75%,
IF(B25="SADLAW",2000*75%,
IF(B25="SADMAW",1900*75%,
IF(B25="SADSAW",1700*75%,0)))))))))))))))</f>
        <v/>
      </c>
      <c r="I25" s="102">
        <f>SUM(H25*F25)</f>
        <v/>
      </c>
      <c r="J25" s="103" t="n">
        <v>1775.26</v>
      </c>
      <c r="K25" s="4" t="n"/>
      <c r="L25" s="4" t="n">
        <v>61.52</v>
      </c>
      <c r="M25" s="4">
        <f>IF(B25="CW",SUM(O25*850),0)</f>
        <v/>
      </c>
      <c r="N25" s="4">
        <f>IF(B25="CW",SUM(O25*150),0)</f>
        <v/>
      </c>
      <c r="O25" s="21">
        <f>(TRIM(LEFT(E25,FIND("x",E25)-1)) * TRIM(MID(E25,FIND("x",E25)+1,LEN(E25)))) / 1000000</f>
        <v/>
      </c>
      <c r="P25" s="4" t="n"/>
    </row>
    <row r="26" ht="24" customFormat="1" customHeight="1" s="3">
      <c r="B26" s="4" t="inlineStr">
        <is>
          <t>MAW</t>
        </is>
      </c>
      <c r="C26" s="97" t="inlineStr">
        <is>
          <t>Ref 18 - Aluminium window: 2 fixed lights, 2 infill panels</t>
        </is>
      </c>
      <c r="D26" s="90" t="n"/>
      <c r="E26" s="99" t="inlineStr">
        <is>
          <t>2250 x 2304</t>
        </is>
      </c>
      <c r="F26" s="100" t="n">
        <v>1</v>
      </c>
      <c r="G26" s="92" t="inlineStr">
        <is>
          <t>nr</t>
        </is>
      </c>
      <c r="H26" s="101">
        <f>IF(B26="CW",
M26,
J26+K26+L26+
IF(B26="SUPD",1000*75%,
IF(B26="DUPD",1500*75%,
IF(B26="SAD",1200*75%,
IF(B26="DAD",2000*75%,
IF(B26="ELAW",850*75%,
IF(B26="LAW",650*75%,
IF(B26="MAW",550*75%,
IF(B26="SAW",450*75%,
IF(B26="LPVC",450*75%,
IF(B26="MPVC",400*75%,
IF(B26="SPVC",350*75%,
IF(B26="SADLAW",2000*75%,
IF(B26="SADMAW",1900*75%,
IF(B26="SADSAW",1700*75%,0)))))))))))))))</f>
        <v/>
      </c>
      <c r="I26" s="102">
        <f>SUM(H26*F26)</f>
        <v/>
      </c>
      <c r="J26" s="103" t="n">
        <v>1775.26</v>
      </c>
      <c r="K26" s="4" t="n"/>
      <c r="L26" s="4" t="n">
        <v>61.52</v>
      </c>
      <c r="M26" s="4">
        <f>IF(B26="CW",SUM(O26*850),0)</f>
        <v/>
      </c>
      <c r="N26" s="4">
        <f>IF(B26="CW",SUM(O26*150),0)</f>
        <v/>
      </c>
      <c r="O26" s="21">
        <f>(TRIM(LEFT(E26,FIND("x",E26)-1)) * TRIM(MID(E26,FIND("x",E26)+1,LEN(E26)))) / 1000000</f>
        <v/>
      </c>
      <c r="P26" s="4" t="n"/>
    </row>
    <row r="27" ht="24" customFormat="1" customHeight="1" s="3">
      <c r="B27" s="4" t="inlineStr">
        <is>
          <t>ELAW</t>
        </is>
      </c>
      <c r="C27" s="97" t="inlineStr">
        <is>
          <t>Ref 19 - Aluminium window: 20 fixed lights</t>
        </is>
      </c>
      <c r="D27" s="90" t="n"/>
      <c r="E27" s="99" t="inlineStr">
        <is>
          <t>17000 x 900</t>
        </is>
      </c>
      <c r="F27" s="100" t="n">
        <v>1</v>
      </c>
      <c r="G27" s="92" t="inlineStr">
        <is>
          <t>nr</t>
        </is>
      </c>
      <c r="H27" s="101">
        <f>IF(B27="CW",
M27,
J27+K27+L27+
IF(B27="SUPD",1000*75%,
IF(B27="DUPD",1500*75%,
IF(B27="SAD",1200*75%,
IF(B27="DAD",2000*75%,
IF(B27="ELAW",850*75%,
IF(B27="LAW",650*75%,
IF(B27="MAW",550*75%,
IF(B27="SAW",450*75%,
IF(B27="LPVC",450*75%,
IF(B27="MPVC",400*75%,
IF(B27="SPVC",350*75%,
IF(B27="SADLAW",2000*75%,
IF(B27="SADMAW",1900*75%,
IF(B27="SADSAW",1700*75%,0)))))))))))))))</f>
        <v/>
      </c>
      <c r="I27" s="102">
        <f>SUM(H27*F27)</f>
        <v/>
      </c>
      <c r="J27" s="103" t="n">
        <v>3364.24</v>
      </c>
      <c r="K27" s="4" t="n"/>
      <c r="L27" s="4" t="n">
        <v>112.53</v>
      </c>
      <c r="M27" s="4">
        <f>IF(B27="CW",SUM(O27*850),0)</f>
        <v/>
      </c>
      <c r="N27" s="4">
        <f>IF(B27="CW",SUM(O27*150),0)</f>
        <v/>
      </c>
      <c r="O27" s="21">
        <f>(TRIM(LEFT(E27,FIND("x",E27)-1)) * TRIM(MID(E27,FIND("x",E27)+1,LEN(E27)))) / 1000000</f>
        <v/>
      </c>
      <c r="P27" s="4" t="n"/>
    </row>
    <row r="28" ht="24" customFormat="1" customHeight="1" s="3">
      <c r="B28" s="4" t="inlineStr">
        <is>
          <t>LAW</t>
        </is>
      </c>
      <c r="C28" s="97" t="inlineStr">
        <is>
          <t>Ref 20 - Aluminium window: 7 fixed lights, 1 infill panel</t>
        </is>
      </c>
      <c r="D28" s="90" t="n"/>
      <c r="E28" s="99" t="inlineStr">
        <is>
          <t>7000 x 1100</t>
        </is>
      </c>
      <c r="F28" s="100" t="n">
        <v>1</v>
      </c>
      <c r="G28" s="92" t="inlineStr">
        <is>
          <t>nr</t>
        </is>
      </c>
      <c r="H28" s="101">
        <f>IF(B28="CW",
M28,
J28+K28+L28+
IF(B28="SUPD",1000*75%,
IF(B28="DUPD",1500*75%,
IF(B28="SAD",1200*75%,
IF(B28="DAD",2000*75%,
IF(B28="ELAW",850*75%,
IF(B28="LAW",650*75%,
IF(B28="MAW",550*75%,
IF(B28="SAW",450*75%,
IF(B28="LPVC",450*75%,
IF(B28="MPVC",400*75%,
IF(B28="SPVC",350*75%,
IF(B28="SADLAW",2000*75%,
IF(B28="SADMAW",1900*75%,
IF(B28="SADSAW",1700*75%,0)))))))))))))))</f>
        <v/>
      </c>
      <c r="I28" s="102">
        <f>SUM(H28*F28)</f>
        <v/>
      </c>
      <c r="J28" s="103" t="n">
        <v>2242.6</v>
      </c>
      <c r="K28" s="4" t="n"/>
      <c r="L28" s="4" t="n">
        <v>76.77</v>
      </c>
      <c r="M28" s="4">
        <f>IF(B28="CW",SUM(O28*850),0)</f>
        <v/>
      </c>
      <c r="N28" s="4">
        <f>IF(B28="CW",SUM(O28*150),0)</f>
        <v/>
      </c>
      <c r="O28" s="21">
        <f>(TRIM(LEFT(E28,FIND("x",E28)-1)) * TRIM(MID(E28,FIND("x",E28)+1,LEN(E28)))) / 1000000</f>
        <v/>
      </c>
      <c r="P28" s="4" t="n"/>
    </row>
    <row r="29" ht="24" customFormat="1" customHeight="1" s="3" thickBot="1">
      <c r="B29" s="4" t="inlineStr">
        <is>
          <t>SAW</t>
        </is>
      </c>
      <c r="C29" s="97" t="inlineStr">
        <is>
          <t>Ref 21 - Aluminium window: 1 top hung opening light, 1 fixed light</t>
        </is>
      </c>
      <c r="D29" s="90" t="n"/>
      <c r="E29" s="99" t="inlineStr">
        <is>
          <t>1200 x 1200</t>
        </is>
      </c>
      <c r="F29" s="100" t="n">
        <v>1</v>
      </c>
      <c r="G29" s="92" t="inlineStr">
        <is>
          <t>nr</t>
        </is>
      </c>
      <c r="H29" s="101">
        <f>IF(B29="CW",
M29,
J29+K29+L29+
IF(B29="SUPD",1000*75%,
IF(B29="DUPD",1500*75%,
IF(B29="SAD",1200*75%,
IF(B29="DAD",2000*75%,
IF(B29="ELAW",850*75%,
IF(B29="LAW",650*75%,
IF(B29="MAW",550*75%,
IF(B29="SAW",450*75%,
IF(B29="LPVC",450*75%,
IF(B29="MPVC",400*75%,
IF(B29="SPVC",350*75%,
IF(B29="SADLAW",2000*75%,
IF(B29="SADMAW",1900*75%,
IF(B29="SADSAW",1700*75%,0)))))))))))))))</f>
        <v/>
      </c>
      <c r="I29" s="102">
        <f>SUM(H29*F29)</f>
        <v/>
      </c>
      <c r="J29" s="103" t="n">
        <v>833.0599999999999</v>
      </c>
      <c r="K29" s="4" t="n"/>
      <c r="L29" s="4" t="n">
        <v>32.92</v>
      </c>
      <c r="M29" s="4">
        <f>IF(B29="CW",SUM(O29*850),0)</f>
        <v/>
      </c>
      <c r="N29" s="4">
        <f>IF(B29="CW",SUM(O29*150),0)</f>
        <v/>
      </c>
      <c r="O29" s="21">
        <f>(TRIM(LEFT(E29,FIND("x",E29)-1)) * TRIM(MID(E29,FIND("x",E29)+1,LEN(E29)))) / 1000000</f>
        <v/>
      </c>
      <c r="P29" s="4" t="n"/>
    </row>
    <row r="30" ht="24" customHeight="1">
      <c r="B30" s="4" t="inlineStr">
        <is>
          <t>SAW</t>
        </is>
      </c>
      <c r="C30" s="97" t="inlineStr">
        <is>
          <t>Ref 22 - Aluminium window: 1 fixed light</t>
        </is>
      </c>
      <c r="D30" s="90" t="n"/>
      <c r="E30" s="99" t="inlineStr">
        <is>
          <t>1500 x 1000</t>
        </is>
      </c>
      <c r="F30" s="100" t="n">
        <v>1</v>
      </c>
      <c r="G30" s="92" t="inlineStr">
        <is>
          <t>nr</t>
        </is>
      </c>
      <c r="H30" s="101">
        <f>IF(B30="CW",
M30,
J30+K30+L30+
IF(B30="SUPD",1000*75%,
IF(B30="DUPD",1500*75%,
IF(B30="SAD",1200*75%,
IF(B30="DAD",2000*75%,
IF(B30="ELAW",850*75%,
IF(B30="LAW",650*75%,
IF(B30="MAW",550*75%,
IF(B30="SAW",450*75%,
IF(B30="LPVC",450*75%,
IF(B30="MPVC",400*75%,
IF(B30="SPVC",350*75%,
IF(B30="SADLAW",2000*75%,
IF(B30="SADMAW",1900*75%,
IF(B30="SADSAW",1700*75%,0)))))))))))))))</f>
        <v/>
      </c>
      <c r="I30" s="102">
        <f>SUM(H30*F30)</f>
        <v/>
      </c>
      <c r="J30" s="103" t="n">
        <v>853.39</v>
      </c>
      <c r="K30" s="4" t="n"/>
      <c r="L30" s="4" t="n">
        <v>33.49</v>
      </c>
      <c r="M30" s="4">
        <f>IF(B30="CW",SUM(O30*850),0)</f>
        <v/>
      </c>
      <c r="N30" s="4">
        <f>IF(B30="CW",SUM(O30*150),0)</f>
        <v/>
      </c>
      <c r="O30" s="21">
        <f>(TRIM(LEFT(E30,FIND("x",E30)-1)) * TRIM(MID(E30,FIND("x",E30)+1,LEN(E30)))) / 1000000</f>
        <v/>
      </c>
      <c r="P30" s="4" t="n"/>
    </row>
    <row r="31" ht="24" customHeight="1">
      <c r="B31" s="4" t="inlineStr">
        <is>
          <t>SAW</t>
        </is>
      </c>
      <c r="C31" s="97" t="inlineStr">
        <is>
          <t>Ref 23 - Aluminium window: 1 fixed light</t>
        </is>
      </c>
      <c r="D31" s="90" t="n"/>
      <c r="E31" s="99" t="inlineStr">
        <is>
          <t>1500 x 1000</t>
        </is>
      </c>
      <c r="F31" s="100" t="n">
        <v>1</v>
      </c>
      <c r="G31" s="92" t="inlineStr">
        <is>
          <t>nr</t>
        </is>
      </c>
      <c r="H31" s="101">
        <f>IF(B31="CW",
M31,
J31+K31+L31+
IF(B31="SUPD",1000*75%,
IF(B31="DUPD",1500*75%,
IF(B31="SAD",1200*75%,
IF(B31="DAD",2000*75%,
IF(B31="ELAW",850*75%,
IF(B31="LAW",650*75%,
IF(B31="MAW",550*75%,
IF(B31="SAW",450*75%,
IF(B31="LPVC",450*75%,
IF(B31="MPVC",400*75%,
IF(B31="SPVC",350*75%,
IF(B31="SADLAW",2000*75%,
IF(B31="SADMAW",1900*75%,
IF(B31="SADSAW",1700*75%,0)))))))))))))))</f>
        <v/>
      </c>
      <c r="I31" s="102">
        <f>SUM(H31*F31)</f>
        <v/>
      </c>
      <c r="J31" s="103" t="n">
        <v>853.39</v>
      </c>
      <c r="K31" s="4" t="n"/>
      <c r="L31" s="4" t="n">
        <v>33.49</v>
      </c>
      <c r="M31" s="4">
        <f>IF(B31="CW",SUM(O31*850),0)</f>
        <v/>
      </c>
      <c r="N31" s="4">
        <f>IF(B31="CW",SUM(O31*150),0)</f>
        <v/>
      </c>
      <c r="O31" s="21">
        <f>(TRIM(LEFT(E31,FIND("x",E31)-1)) * TRIM(MID(E31,FIND("x",E31)+1,LEN(E31)))) / 1000000</f>
        <v/>
      </c>
      <c r="P31" s="4" t="n"/>
    </row>
    <row r="32" ht="24" customHeight="1">
      <c r="B32" s="4" t="inlineStr">
        <is>
          <t>SAW</t>
        </is>
      </c>
      <c r="C32" s="97" t="inlineStr">
        <is>
          <t>Ref 24 - Aluminium window: 1 top hung opening light</t>
        </is>
      </c>
      <c r="D32" s="90" t="n"/>
      <c r="E32" s="99" t="inlineStr">
        <is>
          <t>900 x 525</t>
        </is>
      </c>
      <c r="F32" s="100" t="n">
        <v>1</v>
      </c>
      <c r="G32" s="92" t="inlineStr">
        <is>
          <t>nr</t>
        </is>
      </c>
      <c r="H32" s="101">
        <f>IF(B32="CW",
M32,
J32+K32+L32+
IF(B32="SUPD",1000*75%,
IF(B32="DUPD",1500*75%,
IF(B32="SAD",1200*75%,
IF(B32="DAD",2000*75%,
IF(B32="ELAW",850*75%,
IF(B32="LAW",650*75%,
IF(B32="MAW",550*75%,
IF(B32="SAW",450*75%,
IF(B32="LPVC",450*75%,
IF(B32="MPVC",400*75%,
IF(B32="SPVC",350*75%,
IF(B32="SADLAW",2000*75%,
IF(B32="SADMAW",1900*75%,
IF(B32="SADSAW",1700*75%,0)))))))))))))))</f>
        <v/>
      </c>
      <c r="I32" s="102">
        <f>SUM(H32*F32)</f>
        <v/>
      </c>
      <c r="J32" s="103" t="n">
        <v>431.34</v>
      </c>
      <c r="K32" s="4" t="n"/>
      <c r="L32" s="4" t="n">
        <v>21.62</v>
      </c>
      <c r="M32" s="4">
        <f>IF(B32="CW",SUM(O32*850),0)</f>
        <v/>
      </c>
      <c r="N32" s="4">
        <f>IF(B32="CW",SUM(O32*150),0)</f>
        <v/>
      </c>
      <c r="O32" s="21">
        <f>(TRIM(LEFT(E32,FIND("x",E32)-1)) * TRIM(MID(E32,FIND("x",E32)+1,LEN(E32)))) / 1000000</f>
        <v/>
      </c>
      <c r="P32" s="4" t="n"/>
    </row>
    <row r="33" ht="24" customHeight="1">
      <c r="B33" s="4" t="inlineStr">
        <is>
          <t>SAW</t>
        </is>
      </c>
      <c r="C33" s="97" t="inlineStr">
        <is>
          <t>Ref 25 - Aluminium window: 1 top hung opening light</t>
        </is>
      </c>
      <c r="D33" s="90" t="n"/>
      <c r="E33" s="99" t="inlineStr">
        <is>
          <t>900 x 525</t>
        </is>
      </c>
      <c r="F33" s="100" t="n">
        <v>1</v>
      </c>
      <c r="G33" s="92" t="inlineStr">
        <is>
          <t>nr</t>
        </is>
      </c>
      <c r="H33" s="101">
        <f>IF(B33="CW",
M33,
J33+K33+L33+
IF(B33="SUPD",1000*75%,
IF(B33="DUPD",1500*75%,
IF(B33="SAD",1200*75%,
IF(B33="DAD",2000*75%,
IF(B33="ELAW",850*75%,
IF(B33="LAW",650*75%,
IF(B33="MAW",550*75%,
IF(B33="SAW",450*75%,
IF(B33="LPVC",450*75%,
IF(B33="MPVC",400*75%,
IF(B33="SPVC",350*75%,
IF(B33="SADLAW",2000*75%,
IF(B33="SADMAW",1900*75%,
IF(B33="SADSAW",1700*75%,0)))))))))))))))</f>
        <v/>
      </c>
      <c r="I33" s="102">
        <f>SUM(H33*F33)</f>
        <v/>
      </c>
      <c r="J33" s="103" t="n">
        <v>431.34</v>
      </c>
      <c r="K33" s="4" t="n"/>
      <c r="L33" s="4" t="n">
        <v>21.62</v>
      </c>
      <c r="M33" s="4">
        <f>IF(B33="CW",SUM(O33*850),0)</f>
        <v/>
      </c>
      <c r="N33" s="4">
        <f>IF(B33="CW",SUM(O33*150),0)</f>
        <v/>
      </c>
      <c r="O33" s="21">
        <f>(TRIM(LEFT(E33,FIND("x",E33)-1)) * TRIM(MID(E33,FIND("x",E33)+1,LEN(E33)))) / 1000000</f>
        <v/>
      </c>
      <c r="P33" s="4" t="n"/>
    </row>
    <row r="34" ht="24" customHeight="1">
      <c r="B34" s="4" t="inlineStr">
        <is>
          <t>SAW</t>
        </is>
      </c>
      <c r="C34" s="97" t="inlineStr">
        <is>
          <t>Ref 26 - Aluminium window: 1 top hung opening light</t>
        </is>
      </c>
      <c r="D34" s="90" t="n"/>
      <c r="E34" s="99" t="inlineStr">
        <is>
          <t>900 x 525</t>
        </is>
      </c>
      <c r="F34" s="100" t="n">
        <v>1</v>
      </c>
      <c r="G34" s="92" t="inlineStr">
        <is>
          <t>nr</t>
        </is>
      </c>
      <c r="H34" s="101">
        <f>IF(B34="CW",
M34,
J34+K34+L34+
IF(B34="SUPD",1000*75%,
IF(B34="DUPD",1500*75%,
IF(B34="SAD",1200*75%,
IF(B34="DAD",2000*75%,
IF(B34="ELAW",850*75%,
IF(B34="LAW",650*75%,
IF(B34="MAW",550*75%,
IF(B34="SAW",450*75%,
IF(B34="LPVC",450*75%,
IF(B34="MPVC",400*75%,
IF(B34="SPVC",350*75%,
IF(B34="SADLAW",2000*75%,
IF(B34="SADMAW",1900*75%,
IF(B34="SADSAW",1700*75%,0)))))))))))))))</f>
        <v/>
      </c>
      <c r="I34" s="102">
        <f>SUM(H34*F34)</f>
        <v/>
      </c>
      <c r="J34" s="103" t="n">
        <v>431.34</v>
      </c>
      <c r="K34" s="4" t="n"/>
      <c r="L34" s="4" t="n">
        <v>21.62</v>
      </c>
      <c r="M34" s="4">
        <f>IF(B34="CW",SUM(O34*850),0)</f>
        <v/>
      </c>
      <c r="N34" s="4">
        <f>IF(B34="CW",SUM(O34*150),0)</f>
        <v/>
      </c>
      <c r="O34" s="21">
        <f>(TRIM(LEFT(E34,FIND("x",E34)-1)) * TRIM(MID(E34,FIND("x",E34)+1,LEN(E34)))) / 1000000</f>
        <v/>
      </c>
      <c r="P34" s="4" t="n"/>
    </row>
    <row r="35" ht="24" customHeight="1">
      <c r="B35" s="4" t="inlineStr">
        <is>
          <t>SAW</t>
        </is>
      </c>
      <c r="C35" s="97" t="inlineStr">
        <is>
          <t>Ref 27 - Aluminium window: 1 top hung opening light</t>
        </is>
      </c>
      <c r="D35" s="90" t="n"/>
      <c r="E35" s="99" t="inlineStr">
        <is>
          <t>900 x 525</t>
        </is>
      </c>
      <c r="F35" s="100" t="n">
        <v>1</v>
      </c>
      <c r="G35" s="92" t="inlineStr">
        <is>
          <t>nr</t>
        </is>
      </c>
      <c r="H35" s="101">
        <f>IF(B35="CW",
M35,
J35+K35+L35+
IF(B35="SUPD",1000*75%,
IF(B35="DUPD",1500*75%,
IF(B35="SAD",1200*75%,
IF(B35="DAD",2000*75%,
IF(B35="ELAW",850*75%,
IF(B35="LAW",650*75%,
IF(B35="MAW",550*75%,
IF(B35="SAW",450*75%,
IF(B35="LPVC",450*75%,
IF(B35="MPVC",400*75%,
IF(B35="SPVC",350*75%,
IF(B35="SADLAW",2000*75%,
IF(B35="SADMAW",1900*75%,
IF(B35="SADSAW",1700*75%,0)))))))))))))))</f>
        <v/>
      </c>
      <c r="I35" s="102">
        <f>SUM(H35*F35)</f>
        <v/>
      </c>
      <c r="J35" s="103" t="n">
        <v>431.34</v>
      </c>
      <c r="K35" s="4" t="n"/>
      <c r="L35" s="4" t="n">
        <v>21.62</v>
      </c>
      <c r="M35" s="4">
        <f>IF(B35="CW",SUM(O35*850),0)</f>
        <v/>
      </c>
      <c r="N35" s="4">
        <f>IF(B35="CW",SUM(O35*150),0)</f>
        <v/>
      </c>
      <c r="O35" s="21">
        <f>(TRIM(LEFT(E35,FIND("x",E35)-1)) * TRIM(MID(E35,FIND("x",E35)+1,LEN(E35)))) / 1000000</f>
        <v/>
      </c>
      <c r="P35" s="4" t="n"/>
    </row>
    <row r="36" ht="24" customHeight="1">
      <c r="B36" s="4" t="inlineStr">
        <is>
          <t>SAW</t>
        </is>
      </c>
      <c r="C36" s="97" t="inlineStr">
        <is>
          <t>Ref 28 - Aluminium window: 1 top hung opening light</t>
        </is>
      </c>
      <c r="D36" s="90" t="n"/>
      <c r="E36" s="99" t="inlineStr">
        <is>
          <t>900 x 525</t>
        </is>
      </c>
      <c r="F36" s="100" t="n">
        <v>1</v>
      </c>
      <c r="G36" s="92" t="inlineStr">
        <is>
          <t>nr</t>
        </is>
      </c>
      <c r="H36" s="101">
        <f>IF(B36="CW",
M36,
J36+K36+L36+
IF(B36="SUPD",1000*75%,
IF(B36="DUPD",1500*75%,
IF(B36="SAD",1200*75%,
IF(B36="DAD",2000*75%,
IF(B36="ELAW",850*75%,
IF(B36="LAW",650*75%,
IF(B36="MAW",550*75%,
IF(B36="SAW",450*75%,
IF(B36="LPVC",450*75%,
IF(B36="MPVC",400*75%,
IF(B36="SPVC",350*75%,
IF(B36="SADLAW",2000*75%,
IF(B36="SADMAW",1900*75%,
IF(B36="SADSAW",1700*75%,0)))))))))))))))</f>
        <v/>
      </c>
      <c r="I36" s="102">
        <f>SUM(H36*F36)</f>
        <v/>
      </c>
      <c r="J36" s="103" t="n">
        <v>431.34</v>
      </c>
      <c r="K36" s="4" t="n"/>
      <c r="L36" s="4" t="n">
        <v>21.62</v>
      </c>
      <c r="M36" s="4">
        <f>IF(B36="CW",SUM(O36*850),0)</f>
        <v/>
      </c>
      <c r="N36" s="4">
        <f>IF(B36="CW",SUM(O36*150),0)</f>
        <v/>
      </c>
      <c r="O36" s="21">
        <f>(TRIM(LEFT(E36,FIND("x",E36)-1)) * TRIM(MID(E36,FIND("x",E36)+1,LEN(E36)))) / 1000000</f>
        <v/>
      </c>
      <c r="P36" s="4" t="n"/>
    </row>
    <row r="37" ht="36" customHeight="1">
      <c r="B37" s="4" t="inlineStr">
        <is>
          <t>SAW</t>
        </is>
      </c>
      <c r="C37" s="97" t="inlineStr">
        <is>
          <t>Ref 29 - Aluminium window: fixed light (configuration not stated on the tender schedule)</t>
        </is>
      </c>
      <c r="D37" s="90" t="n"/>
      <c r="E37" s="99" t="inlineStr">
        <is>
          <t>900 x 300</t>
        </is>
      </c>
      <c r="F37" s="100" t="n">
        <v>1</v>
      </c>
      <c r="G37" s="92" t="inlineStr">
        <is>
          <t>nr</t>
        </is>
      </c>
      <c r="H37" s="101">
        <f>IF(B37="CW",
M37,
J37+K37+L37+
IF(B37="SUPD",1000*75%,
IF(B37="DUPD",1500*75%,
IF(B37="SAD",1200*75%,
IF(B37="DAD",2000*75%,
IF(B37="ELAW",850*75%,
IF(B37="LAW",650*75%,
IF(B37="MAW",550*75%,
IF(B37="SAW",450*75%,
IF(B37="LPVC",450*75%,
IF(B37="MPVC",400*75%,
IF(B37="SPVC",350*75%,
IF(B37="SADLAW",2000*75%,
IF(B37="SADMAW",1900*75%,
IF(B37="SADSAW",1700*75%,0)))))))))))))))</f>
        <v/>
      </c>
      <c r="I37" s="102">
        <f>SUM(H37*F37)</f>
        <v/>
      </c>
      <c r="J37" s="103" t="n">
        <v>309.93</v>
      </c>
      <c r="K37" s="4" t="n"/>
      <c r="L37" s="4" t="n">
        <v>18.21</v>
      </c>
      <c r="M37" s="4">
        <f>IF(B37="CW",SUM(O37*850),0)</f>
        <v/>
      </c>
      <c r="N37" s="4">
        <f>IF(B37="CW",SUM(O37*150),0)</f>
        <v/>
      </c>
      <c r="O37" s="21">
        <f>(TRIM(LEFT(E37,FIND("x",E37)-1)) * TRIM(MID(E37,FIND("x",E37)+1,LEN(E37)))) / 1000000</f>
        <v/>
      </c>
      <c r="P37" s="4" t="n"/>
    </row>
    <row r="38" ht="36" customHeight="1">
      <c r="B38" s="4" t="inlineStr">
        <is>
          <t>SAW</t>
        </is>
      </c>
      <c r="C38" s="97" t="inlineStr">
        <is>
          <t>Ref 30 - Aluminium window: fixed light (configuration not stated on the tender schedule)</t>
        </is>
      </c>
      <c r="D38" s="90" t="n"/>
      <c r="E38" s="99" t="inlineStr">
        <is>
          <t>900 x 300</t>
        </is>
      </c>
      <c r="F38" s="100" t="n">
        <v>1</v>
      </c>
      <c r="G38" s="92" t="inlineStr">
        <is>
          <t>nr</t>
        </is>
      </c>
      <c r="H38" s="101">
        <f>IF(B38="CW",
M38,
J38+K38+L38+
IF(B38="SUPD",1000*75%,
IF(B38="DUPD",1500*75%,
IF(B38="SAD",1200*75%,
IF(B38="DAD",2000*75%,
IF(B38="ELAW",850*75%,
IF(B38="LAW",650*75%,
IF(B38="MAW",550*75%,
IF(B38="SAW",450*75%,
IF(B38="LPVC",450*75%,
IF(B38="MPVC",400*75%,
IF(B38="SPVC",350*75%,
IF(B38="SADLAW",2000*75%,
IF(B38="SADMAW",1900*75%,
IF(B38="SADSAW",1700*75%,0)))))))))))))))</f>
        <v/>
      </c>
      <c r="I38" s="102">
        <f>SUM(H38*F38)</f>
        <v/>
      </c>
      <c r="J38" s="103" t="n">
        <v>309.93</v>
      </c>
      <c r="K38" s="4" t="n"/>
      <c r="L38" s="4" t="n">
        <v>18.21</v>
      </c>
      <c r="M38" s="4">
        <f>IF(B38="CW",SUM(O38*850),0)</f>
        <v/>
      </c>
      <c r="N38" s="4">
        <f>IF(B38="CW",SUM(O38*150),0)</f>
        <v/>
      </c>
      <c r="O38" s="21">
        <f>(TRIM(LEFT(E38,FIND("x",E38)-1)) * TRIM(MID(E38,FIND("x",E38)+1,LEN(E38)))) / 1000000</f>
        <v/>
      </c>
      <c r="P38" s="4" t="n"/>
    </row>
    <row r="39" ht="36" customHeight="1">
      <c r="B39" s="4" t="inlineStr">
        <is>
          <t>SAW</t>
        </is>
      </c>
      <c r="C39" s="97" t="inlineStr">
        <is>
          <t>Ref 31 - Aluminium window: fixed light (configuration not stated on the tender schedule)</t>
        </is>
      </c>
      <c r="D39" s="90" t="n"/>
      <c r="E39" s="99" t="inlineStr">
        <is>
          <t>900 x 300</t>
        </is>
      </c>
      <c r="F39" s="100" t="n">
        <v>1</v>
      </c>
      <c r="G39" s="92" t="inlineStr">
        <is>
          <t>nr</t>
        </is>
      </c>
      <c r="H39" s="101">
        <f>IF(B39="CW",
M39,
J39+K39+L39+
IF(B39="SUPD",1000*75%,
IF(B39="DUPD",1500*75%,
IF(B39="SAD",1200*75%,
IF(B39="DAD",2000*75%,
IF(B39="ELAW",850*75%,
IF(B39="LAW",650*75%,
IF(B39="MAW",550*75%,
IF(B39="SAW",450*75%,
IF(B39="LPVC",450*75%,
IF(B39="MPVC",400*75%,
IF(B39="SPVC",350*75%,
IF(B39="SADLAW",2000*75%,
IF(B39="SADMAW",1900*75%,
IF(B39="SADSAW",1700*75%,0)))))))))))))))</f>
        <v/>
      </c>
      <c r="I39" s="102">
        <f>SUM(H39*F39)</f>
        <v/>
      </c>
      <c r="J39" s="103" t="n">
        <v>309.93</v>
      </c>
      <c r="K39" s="4" t="n"/>
      <c r="L39" s="4" t="n">
        <v>18.21</v>
      </c>
      <c r="M39" s="4">
        <f>IF(B39="CW",SUM(O39*850),0)</f>
        <v/>
      </c>
      <c r="N39" s="4">
        <f>IF(B39="CW",SUM(O39*150),0)</f>
        <v/>
      </c>
      <c r="O39" s="21">
        <f>(TRIM(LEFT(E39,FIND("x",E39)-1)) * TRIM(MID(E39,FIND("x",E39)+1,LEN(E39)))) / 1000000</f>
        <v/>
      </c>
      <c r="P39" s="4" t="n"/>
    </row>
    <row r="40" ht="36" customHeight="1">
      <c r="B40" s="4" t="inlineStr">
        <is>
          <t>MAW</t>
        </is>
      </c>
      <c r="C40" s="97" t="inlineStr">
        <is>
          <t>Ref 32.1 - Aluminium window: 1 top hung opening light, 1 fixed light, 1 infill panel</t>
        </is>
      </c>
      <c r="D40" s="90" t="n"/>
      <c r="E40" s="99" t="inlineStr">
        <is>
          <t>1800 x 1600</t>
        </is>
      </c>
      <c r="F40" s="100" t="n">
        <v>1</v>
      </c>
      <c r="G40" s="92" t="inlineStr">
        <is>
          <t>nr</t>
        </is>
      </c>
      <c r="H40" s="101">
        <f>IF(B40="CW",
M40,
J40+K40+L40+
IF(B40="SUPD",1000*75%,
IF(B40="DUPD",1500*75%,
IF(B40="SAD",1200*75%,
IF(B40="DAD",2000*75%,
IF(B40="ELAW",850*75%,
IF(B40="LAW",650*75%,
IF(B40="MAW",550*75%,
IF(B40="SAW",450*75%,
IF(B40="LPVC",450*75%,
IF(B40="MPVC",400*75%,
IF(B40="SPVC",350*75%,
IF(B40="SADLAW",2000*75%,
IF(B40="SADMAW",1900*75%,
IF(B40="SADSAW",1700*75%,0)))))))))))))))</f>
        <v/>
      </c>
      <c r="I40" s="102">
        <f>SUM(H40*F40)</f>
        <v/>
      </c>
      <c r="J40" s="103" t="n">
        <v>1254.53</v>
      </c>
      <c r="K40" s="4" t="n"/>
      <c r="L40" s="4" t="n">
        <v>46.88</v>
      </c>
      <c r="M40" s="4">
        <f>IF(B40="CW",SUM(O40*850),0)</f>
        <v/>
      </c>
      <c r="N40" s="4">
        <f>IF(B40="CW",SUM(O40*150),0)</f>
        <v/>
      </c>
      <c r="O40" s="21">
        <f>(TRIM(LEFT(E40,FIND("x",E40)-1)) * TRIM(MID(E40,FIND("x",E40)+1,LEN(E40)))) / 1000000</f>
        <v/>
      </c>
      <c r="P40" s="4" t="n"/>
    </row>
    <row r="41" ht="24" customHeight="1">
      <c r="B41" s="4" t="inlineStr">
        <is>
          <t>SAD</t>
        </is>
      </c>
      <c r="C41" s="97" t="inlineStr">
        <is>
          <t>Ref 32.2 - Aluminium doorset: single leaf commercial doorset</t>
        </is>
      </c>
      <c r="D41" s="90" t="n"/>
      <c r="E41" s="99" t="inlineStr">
        <is>
          <t>1170 x 2100</t>
        </is>
      </c>
      <c r="F41" s="100" t="n">
        <v>1</v>
      </c>
      <c r="G41" s="92" t="inlineStr">
        <is>
          <t>nr</t>
        </is>
      </c>
      <c r="H41" s="101">
        <f>IF(B41="CW",
M41,
J41+K41+L41+
IF(B41="SUPD",1000*75%,
IF(B41="DUPD",1500*75%,
IF(B41="SAD",1200*75%,
IF(B41="DAD",2000*75%,
IF(B41="ELAW",850*75%,
IF(B41="LAW",650*75%,
IF(B41="MAW",550*75%,
IF(B41="SAW",450*75%,
IF(B41="LPVC",450*75%,
IF(B41="MPVC",400*75%,
IF(B41="SPVC",350*75%,
IF(B41="SADLAW",2000*75%,
IF(B41="SADMAW",1900*75%,
IF(B41="SADSAW",1700*75%,0)))))))))))))))</f>
        <v/>
      </c>
      <c r="I41" s="102">
        <f>SUM(H41*F41)</f>
        <v/>
      </c>
      <c r="J41" s="103" t="n">
        <v>1142.18</v>
      </c>
      <c r="K41" s="4" t="n"/>
      <c r="L41" s="4" t="n">
        <v>57.43</v>
      </c>
      <c r="M41" s="4">
        <f>IF(B41="CW",SUM(O41*850),0)</f>
        <v/>
      </c>
      <c r="N41" s="4">
        <f>IF(B41="CW",SUM(O41*150),0)</f>
        <v/>
      </c>
      <c r="O41" s="21">
        <f>(TRIM(LEFT(E41,FIND("x",E41)-1)) * TRIM(MID(E41,FIND("x",E41)+1,LEN(E41)))) / 1000000</f>
        <v/>
      </c>
      <c r="P41" s="4" t="n"/>
    </row>
    <row r="42" ht="24" customHeight="1">
      <c r="B42" s="4" t="inlineStr">
        <is>
          <t>SAW</t>
        </is>
      </c>
      <c r="C42" s="97" t="inlineStr">
        <is>
          <t>Ref 33 - Aluminium window: 1 top hung opening light, 1 fixed light</t>
        </is>
      </c>
      <c r="D42" s="90" t="n"/>
      <c r="E42" s="99" t="inlineStr">
        <is>
          <t>1800 x 1200</t>
        </is>
      </c>
      <c r="F42" s="100" t="n">
        <v>1</v>
      </c>
      <c r="G42" s="92" t="inlineStr">
        <is>
          <t>nr</t>
        </is>
      </c>
      <c r="H42" s="101">
        <f>IF(B42="CW",
M42,
J42+K42+L42+
IF(B42="SUPD",1000*75%,
IF(B42="DUPD",1500*75%,
IF(B42="SAD",1200*75%,
IF(B42="DAD",2000*75%,
IF(B42="ELAW",850*75%,
IF(B42="LAW",650*75%,
IF(B42="MAW",550*75%,
IF(B42="SAW",450*75%,
IF(B42="LPVC",450*75%,
IF(B42="MPVC",400*75%,
IF(B42="SPVC",350*75%,
IF(B42="SADLAW",2000*75%,
IF(B42="SADMAW",1900*75%,
IF(B42="SADSAW",1700*75%,0)))))))))))))))</f>
        <v/>
      </c>
      <c r="I42" s="102">
        <f>SUM(H42*F42)</f>
        <v/>
      </c>
      <c r="J42" s="103" t="n">
        <v>1058.49</v>
      </c>
      <c r="K42" s="4" t="n"/>
      <c r="L42" s="4" t="n">
        <v>39.26</v>
      </c>
      <c r="M42" s="4">
        <f>IF(B42="CW",SUM(O42*850),0)</f>
        <v/>
      </c>
      <c r="N42" s="4">
        <f>IF(B42="CW",SUM(O42*150),0)</f>
        <v/>
      </c>
      <c r="O42" s="21">
        <f>(TRIM(LEFT(E42,FIND("x",E42)-1)) * TRIM(MID(E42,FIND("x",E42)+1,LEN(E42)))) / 1000000</f>
        <v/>
      </c>
      <c r="P42" s="4" t="n"/>
    </row>
    <row r="43" ht="36" customHeight="1">
      <c r="B43" s="4" t="inlineStr">
        <is>
          <t>MAW</t>
        </is>
      </c>
      <c r="C43" s="97" t="inlineStr">
        <is>
          <t>Ref 34.1 - Aluminium window: 1 top hung opening light, 2 fixed lights, 1 infill panel</t>
        </is>
      </c>
      <c r="D43" s="90" t="n"/>
      <c r="E43" s="99" t="inlineStr">
        <is>
          <t>2400 x 1600</t>
        </is>
      </c>
      <c r="F43" s="100" t="n">
        <v>1</v>
      </c>
      <c r="G43" s="92" t="inlineStr">
        <is>
          <t>nr</t>
        </is>
      </c>
      <c r="H43" s="101">
        <f>IF(B43="CW",
M43,
J43+K43+L43+
IF(B43="SUPD",1000*75%,
IF(B43="DUPD",1500*75%,
IF(B43="SAD",1200*75%,
IF(B43="DAD",2000*75%,
IF(B43="ELAW",850*75%,
IF(B43="LAW",650*75%,
IF(B43="MAW",550*75%,
IF(B43="SAW",450*75%,
IF(B43="LPVC",450*75%,
IF(B43="MPVC",400*75%,
IF(B43="SPVC",350*75%,
IF(B43="SADLAW",2000*75%,
IF(B43="SADMAW",1900*75%,
IF(B43="SADSAW",1700*75%,0)))))))))))))))</f>
        <v/>
      </c>
      <c r="I43" s="102">
        <f>SUM(H43*F43)</f>
        <v/>
      </c>
      <c r="J43" s="103" t="n">
        <v>1486.89</v>
      </c>
      <c r="K43" s="4" t="n"/>
      <c r="L43" s="4" t="n">
        <v>53.41</v>
      </c>
      <c r="M43" s="4">
        <f>IF(B43="CW",SUM(O43*850),0)</f>
        <v/>
      </c>
      <c r="N43" s="4">
        <f>IF(B43="CW",SUM(O43*150),0)</f>
        <v/>
      </c>
      <c r="O43" s="21">
        <f>(TRIM(LEFT(E43,FIND("x",E43)-1)) * TRIM(MID(E43,FIND("x",E43)+1,LEN(E43)))) / 1000000</f>
        <v/>
      </c>
      <c r="P43" s="4" t="n"/>
    </row>
    <row r="44" ht="24" customHeight="1">
      <c r="B44" s="4" t="inlineStr">
        <is>
          <t>SAD</t>
        </is>
      </c>
      <c r="C44" s="97" t="inlineStr">
        <is>
          <t>Ref 34.2 - Aluminium doorset: single leaf commercial doorset</t>
        </is>
      </c>
      <c r="D44" s="90" t="n"/>
      <c r="E44" s="99" t="inlineStr">
        <is>
          <t>900 x 2100</t>
        </is>
      </c>
      <c r="F44" s="100" t="n">
        <v>1</v>
      </c>
      <c r="G44" s="92" t="inlineStr">
        <is>
          <t>nr</t>
        </is>
      </c>
      <c r="H44" s="101">
        <f>IF(B44="CW",
M44,
J44+K44+L44+
IF(B44="SUPD",1000*75%,
IF(B44="DUPD",1500*75%,
IF(B44="SAD",1200*75%,
IF(B44="DAD",2000*75%,
IF(B44="ELAW",850*75%,
IF(B44="LAW",650*75%,
IF(B44="MAW",550*75%,
IF(B44="SAW",450*75%,
IF(B44="LPVC",450*75%,
IF(B44="MPVC",400*75%,
IF(B44="SPVC",350*75%,
IF(B44="SADLAW",2000*75%,
IF(B44="SADMAW",1900*75%,
IF(B44="SADSAW",1700*75%,0)))))))))))))))</f>
        <v/>
      </c>
      <c r="I44" s="102">
        <f>SUM(H44*F44)</f>
        <v/>
      </c>
      <c r="J44" s="103" t="n">
        <v>978.21</v>
      </c>
      <c r="K44" s="4" t="n"/>
      <c r="L44" s="4" t="n">
        <v>52.82</v>
      </c>
      <c r="M44" s="4">
        <f>IF(B44="CW",SUM(O44*850),0)</f>
        <v/>
      </c>
      <c r="N44" s="4">
        <f>IF(B44="CW",SUM(O44*150),0)</f>
        <v/>
      </c>
      <c r="O44" s="21">
        <f>(TRIM(LEFT(E44,FIND("x",E44)-1)) * TRIM(MID(E44,FIND("x",E44)+1,LEN(E44)))) / 1000000</f>
        <v/>
      </c>
      <c r="P44" s="4" t="n"/>
    </row>
    <row r="45" ht="24" customHeight="1">
      <c r="B45" s="4" t="inlineStr">
        <is>
          <t>SAW</t>
        </is>
      </c>
      <c r="C45" s="97" t="inlineStr">
        <is>
          <t>Ref 35 - Aluminium window: 1 top hung opening light, 1 fixed light</t>
        </is>
      </c>
      <c r="D45" s="90" t="n"/>
      <c r="E45" s="99" t="inlineStr">
        <is>
          <t>1800 x 1200</t>
        </is>
      </c>
      <c r="F45" s="100" t="n">
        <v>1</v>
      </c>
      <c r="G45" s="92" t="inlineStr">
        <is>
          <t>nr</t>
        </is>
      </c>
      <c r="H45" s="101">
        <f>IF(B45="CW",
M45,
J45+K45+L45+
IF(B45="SUPD",1000*75%,
IF(B45="DUPD",1500*75%,
IF(B45="SAD",1200*75%,
IF(B45="DAD",2000*75%,
IF(B45="ELAW",850*75%,
IF(B45="LAW",650*75%,
IF(B45="MAW",550*75%,
IF(B45="SAW",450*75%,
IF(B45="LPVC",450*75%,
IF(B45="MPVC",400*75%,
IF(B45="SPVC",350*75%,
IF(B45="SADLAW",2000*75%,
IF(B45="SADMAW",1900*75%,
IF(B45="SADSAW",1700*75%,0)))))))))))))))</f>
        <v/>
      </c>
      <c r="I45" s="102">
        <f>SUM(H45*F45)</f>
        <v/>
      </c>
      <c r="J45" s="103" t="n">
        <v>1058.49</v>
      </c>
      <c r="K45" s="4" t="n"/>
      <c r="L45" s="4" t="n">
        <v>39.26</v>
      </c>
      <c r="M45" s="4">
        <f>IF(B45="CW",SUM(O45*850),0)</f>
        <v/>
      </c>
      <c r="N45" s="4">
        <f>IF(B45="CW",SUM(O45*150),0)</f>
        <v/>
      </c>
      <c r="O45" s="21">
        <f>(TRIM(LEFT(E45,FIND("x",E45)-1)) * TRIM(MID(E45,FIND("x",E45)+1,LEN(E45)))) / 1000000</f>
        <v/>
      </c>
      <c r="P45" s="4" t="n"/>
    </row>
    <row r="46" ht="24" customHeight="1">
      <c r="B46" s="4" t="inlineStr">
        <is>
          <t>SAW</t>
        </is>
      </c>
      <c r="C46" s="97" t="inlineStr">
        <is>
          <t>Ref 36 - Aluminium window: 1 top hung opening light, 1 fixed light</t>
        </is>
      </c>
      <c r="D46" s="90" t="n"/>
      <c r="E46" s="99" t="inlineStr">
        <is>
          <t>1800 x 1200</t>
        </is>
      </c>
      <c r="F46" s="100" t="n">
        <v>1</v>
      </c>
      <c r="G46" s="92" t="inlineStr">
        <is>
          <t>nr</t>
        </is>
      </c>
      <c r="H46" s="101">
        <f>IF(B46="CW",
M46,
J46+K46+L46+
IF(B46="SUPD",1000*75%,
IF(B46="DUPD",1500*75%,
IF(B46="SAD",1200*75%,
IF(B46="DAD",2000*75%,
IF(B46="ELAW",850*75%,
IF(B46="LAW",650*75%,
IF(B46="MAW",550*75%,
IF(B46="SAW",450*75%,
IF(B46="LPVC",450*75%,
IF(B46="MPVC",400*75%,
IF(B46="SPVC",350*75%,
IF(B46="SADLAW",2000*75%,
IF(B46="SADMAW",1900*75%,
IF(B46="SADSAW",1700*75%,0)))))))))))))))</f>
        <v/>
      </c>
      <c r="I46" s="102">
        <f>SUM(H46*F46)</f>
        <v/>
      </c>
      <c r="J46" s="103" t="n">
        <v>1058.49</v>
      </c>
      <c r="K46" s="4" t="n"/>
      <c r="L46" s="4" t="n">
        <v>39.26</v>
      </c>
      <c r="M46" s="4">
        <f>IF(B46="CW",SUM(O46*850),0)</f>
        <v/>
      </c>
      <c r="N46" s="4">
        <f>IF(B46="CW",SUM(O46*150),0)</f>
        <v/>
      </c>
      <c r="O46" s="21">
        <f>(TRIM(LEFT(E46,FIND("x",E46)-1)) * TRIM(MID(E46,FIND("x",E46)+1,LEN(E46)))) / 1000000</f>
        <v/>
      </c>
      <c r="P46" s="4" t="n"/>
    </row>
    <row r="47" ht="24" customHeight="1">
      <c r="B47" s="4" t="inlineStr">
        <is>
          <t>SAD</t>
        </is>
      </c>
      <c r="C47" s="97" t="inlineStr">
        <is>
          <t>Ref 37 - Aluminium doorset: single leaf commercial doorset</t>
        </is>
      </c>
      <c r="D47" s="90" t="n"/>
      <c r="E47" s="99" t="inlineStr">
        <is>
          <t>1200 x 2100</t>
        </is>
      </c>
      <c r="F47" s="100" t="n">
        <v>1</v>
      </c>
      <c r="G47" s="92" t="inlineStr">
        <is>
          <t>nr</t>
        </is>
      </c>
      <c r="H47" s="101">
        <f>IF(B47="CW",
M47,
J47+K47+L47+
IF(B47="SUPD",1000*75%,
IF(B47="DUPD",1500*75%,
IF(B47="SAD",1200*75%,
IF(B47="DAD",2000*75%,
IF(B47="ELAW",850*75%,
IF(B47="LAW",650*75%,
IF(B47="MAW",550*75%,
IF(B47="SAW",450*75%,
IF(B47="LPVC",450*75%,
IF(B47="MPVC",400*75%,
IF(B47="SPVC",350*75%,
IF(B47="SADLAW",2000*75%,
IF(B47="SADMAW",1900*75%,
IF(B47="SADSAW",1700*75%,0)))))))))))))))</f>
        <v/>
      </c>
      <c r="I47" s="102">
        <f>SUM(H47*F47)</f>
        <v/>
      </c>
      <c r="J47" s="103" t="n">
        <v>1159.39</v>
      </c>
      <c r="K47" s="4" t="n"/>
      <c r="L47" s="4" t="n">
        <v>57.91</v>
      </c>
      <c r="M47" s="4">
        <f>IF(B47="CW",SUM(O47*850),0)</f>
        <v/>
      </c>
      <c r="N47" s="4">
        <f>IF(B47="CW",SUM(O47*150),0)</f>
        <v/>
      </c>
      <c r="O47" s="21">
        <f>(TRIM(LEFT(E47,FIND("x",E47)-1)) * TRIM(MID(E47,FIND("x",E47)+1,LEN(E47)))) / 1000000</f>
        <v/>
      </c>
      <c r="P47" s="4" t="n"/>
    </row>
    <row r="48" ht="24" customHeight="1">
      <c r="B48" s="4" t="inlineStr">
        <is>
          <t>MAW</t>
        </is>
      </c>
      <c r="C48" s="97" t="inlineStr">
        <is>
          <t>Ref 38 - Aluminium window: 6 fixed lights</t>
        </is>
      </c>
      <c r="D48" s="90" t="n"/>
      <c r="E48" s="99" t="inlineStr">
        <is>
          <t>2700 x 1700</t>
        </is>
      </c>
      <c r="F48" s="100" t="n">
        <v>1</v>
      </c>
      <c r="G48" s="92" t="inlineStr">
        <is>
          <t>nr</t>
        </is>
      </c>
      <c r="H48" s="101">
        <f>IF(B48="CW",
M48,
J48+K48+L48+
IF(B48="SUPD",1000*75%,
IF(B48="DUPD",1500*75%,
IF(B48="SAD",1200*75%,
IF(B48="DAD",2000*75%,
IF(B48="ELAW",850*75%,
IF(B48="LAW",650*75%,
IF(B48="MAW",550*75%,
IF(B48="SAW",450*75%,
IF(B48="LPVC",450*75%,
IF(B48="MPVC",400*75%,
IF(B48="SPVC",350*75%,
IF(B48="SADLAW",2000*75%,
IF(B48="SADMAW",1900*75%,
IF(B48="SADSAW",1700*75%,0)))))))))))))))</f>
        <v/>
      </c>
      <c r="I48" s="102">
        <f>SUM(H48*F48)</f>
        <v/>
      </c>
      <c r="J48" s="103" t="n">
        <v>1652.13</v>
      </c>
      <c r="K48" s="4" t="n"/>
      <c r="L48" s="4" t="n">
        <v>58.06</v>
      </c>
      <c r="M48" s="4">
        <f>IF(B48="CW",SUM(O48*850),0)</f>
        <v/>
      </c>
      <c r="N48" s="4">
        <f>IF(B48="CW",SUM(O48*150),0)</f>
        <v/>
      </c>
      <c r="O48" s="21">
        <f>(TRIM(LEFT(E48,FIND("x",E48)-1)) * TRIM(MID(E48,FIND("x",E48)+1,LEN(E48)))) / 1000000</f>
        <v/>
      </c>
      <c r="P48" s="4" t="n"/>
    </row>
    <row r="49" ht="24" customHeight="1">
      <c r="B49" s="4" t="inlineStr">
        <is>
          <t>SAD</t>
        </is>
      </c>
      <c r="C49" s="97" t="inlineStr">
        <is>
          <t>Ref 39 - Aluminium doorset: single leaf commercial doorset</t>
        </is>
      </c>
      <c r="D49" s="90" t="n"/>
      <c r="E49" s="99" t="inlineStr">
        <is>
          <t>1200 x 2100</t>
        </is>
      </c>
      <c r="F49" s="100" t="n">
        <v>1</v>
      </c>
      <c r="G49" s="92" t="inlineStr">
        <is>
          <t>nr</t>
        </is>
      </c>
      <c r="H49" s="101">
        <f>IF(B49="CW",
M49,
J49+K49+L49+
IF(B49="SUPD",1000*75%,
IF(B49="DUPD",1500*75%,
IF(B49="SAD",1200*75%,
IF(B49="DAD",2000*75%,
IF(B49="ELAW",850*75%,
IF(B49="LAW",650*75%,
IF(B49="MAW",550*75%,
IF(B49="SAW",450*75%,
IF(B49="LPVC",450*75%,
IF(B49="MPVC",400*75%,
IF(B49="SPVC",350*75%,
IF(B49="SADLAW",2000*75%,
IF(B49="SADMAW",1900*75%,
IF(B49="SADSAW",1700*75%,0)))))))))))))))</f>
        <v/>
      </c>
      <c r="I49" s="102">
        <f>SUM(H49*F49)</f>
        <v/>
      </c>
      <c r="J49" s="103" t="n">
        <v>1159.39</v>
      </c>
      <c r="K49" s="4" t="n"/>
      <c r="L49" s="4" t="n">
        <v>57.91</v>
      </c>
      <c r="M49" s="4">
        <f>IF(B49="CW",SUM(O49*850),0)</f>
        <v/>
      </c>
      <c r="N49" s="4">
        <f>IF(B49="CW",SUM(O49*150),0)</f>
        <v/>
      </c>
      <c r="O49" s="21">
        <f>(TRIM(LEFT(E49,FIND("x",E49)-1)) * TRIM(MID(E49,FIND("x",E49)+1,LEN(E49)))) / 1000000</f>
        <v/>
      </c>
      <c r="P49" s="4" t="n"/>
    </row>
    <row r="50" ht="24" customHeight="1">
      <c r="B50" s="4" t="inlineStr">
        <is>
          <t>SAW</t>
        </is>
      </c>
      <c r="C50" s="97" t="inlineStr">
        <is>
          <t>Ref 40 - Aluminium window: 2 fixed lights</t>
        </is>
      </c>
      <c r="D50" s="90" t="n"/>
      <c r="E50" s="99" t="inlineStr">
        <is>
          <t>1200 x 1000</t>
        </is>
      </c>
      <c r="F50" s="100" t="n">
        <v>1</v>
      </c>
      <c r="G50" s="92" t="inlineStr">
        <is>
          <t>nr</t>
        </is>
      </c>
      <c r="H50" s="101">
        <f>IF(B50="CW",
M50,
J50+K50+L50+
IF(B50="SUPD",1000*75%,
IF(B50="DUPD",1500*75%,
IF(B50="SAD",1200*75%,
IF(B50="DAD",2000*75%,
IF(B50="ELAW",850*75%,
IF(B50="LAW",650*75%,
IF(B50="MAW",550*75%,
IF(B50="SAW",450*75%,
IF(B50="LPVC",450*75%,
IF(B50="MPVC",400*75%,
IF(B50="SPVC",350*75%,
IF(B50="SADLAW",2000*75%,
IF(B50="SADMAW",1900*75%,
IF(B50="SADSAW",1700*75%,0)))))))))))))))</f>
        <v/>
      </c>
      <c r="I50" s="102">
        <f>SUM(H50*F50)</f>
        <v/>
      </c>
      <c r="J50" s="103" t="n">
        <v>748.01</v>
      </c>
      <c r="K50" s="4" t="n"/>
      <c r="L50" s="4" t="n">
        <v>30.53</v>
      </c>
      <c r="M50" s="4">
        <f>IF(B50="CW",SUM(O50*850),0)</f>
        <v/>
      </c>
      <c r="N50" s="4">
        <f>IF(B50="CW",SUM(O50*150),0)</f>
        <v/>
      </c>
      <c r="O50" s="21">
        <f>(TRIM(LEFT(E50,FIND("x",E50)-1)) * TRIM(MID(E50,FIND("x",E50)+1,LEN(E50)))) / 1000000</f>
        <v/>
      </c>
      <c r="P50" s="4" t="n"/>
    </row>
    <row r="51" ht="24" customHeight="1">
      <c r="B51" s="4" t="inlineStr">
        <is>
          <t>DAD</t>
        </is>
      </c>
      <c r="C51" s="97" t="inlineStr">
        <is>
          <t>Ref 41 - Aluminium doorset: double leaf commercial doorset</t>
        </is>
      </c>
      <c r="D51" s="90" t="n"/>
      <c r="E51" s="99" t="inlineStr">
        <is>
          <t>1500 x 2100</t>
        </is>
      </c>
      <c r="F51" s="100" t="n">
        <v>1</v>
      </c>
      <c r="G51" s="92" t="inlineStr">
        <is>
          <t>nr</t>
        </is>
      </c>
      <c r="H51" s="101">
        <f>IF(B51="CW",
M51,
J51+K51+L51+
IF(B51="SUPD",1000*75%,
IF(B51="DUPD",1500*75%,
IF(B51="SAD",1200*75%,
IF(B51="DAD",2000*75%,
IF(B51="ELAW",850*75%,
IF(B51="LAW",650*75%,
IF(B51="MAW",550*75%,
IF(B51="SAW",450*75%,
IF(B51="LPVC",450*75%,
IF(B51="MPVC",400*75%,
IF(B51="SPVC",350*75%,
IF(B51="SADLAW",2000*75%,
IF(B51="SADMAW",1900*75%,
IF(B51="SADSAW",1700*75%,0)))))))))))))))</f>
        <v/>
      </c>
      <c r="I51" s="102">
        <f>SUM(H51*F51)</f>
        <v/>
      </c>
      <c r="J51" s="103" t="n">
        <v>1322.73</v>
      </c>
      <c r="K51" s="4" t="n"/>
      <c r="L51" s="4" t="n">
        <v>79.38</v>
      </c>
      <c r="M51" s="4">
        <f>IF(B51="CW",SUM(O51*850),0)</f>
        <v/>
      </c>
      <c r="N51" s="4">
        <f>IF(B51="CW",SUM(O51*150),0)</f>
        <v/>
      </c>
      <c r="O51" s="21">
        <f>(TRIM(LEFT(E51,FIND("x",E51)-1)) * TRIM(MID(E51,FIND("x",E51)+1,LEN(E51)))) / 1000000</f>
        <v/>
      </c>
      <c r="P51" s="4" t="n"/>
    </row>
    <row r="52" ht="84" customHeight="1">
      <c r="B52" s="4" t="inlineStr"/>
      <c r="C52" s="97" t="inlineStr">
        <is>
          <t>Perimeter sealing - external grade low modulus waterproof mastic to all window and doorset joints with the structure, applied at the time of installation. Includes 45mm white cellular uPVC cloaking profile to the internal perimeter where required.</t>
        </is>
      </c>
      <c r="D52" s="90" t="n"/>
      <c r="E52" s="99" t="inlineStr">
        <is>
          <t>314 lin m</t>
        </is>
      </c>
      <c r="F52" s="100" t="n">
        <v>1</v>
      </c>
      <c r="G52" s="92" t="inlineStr">
        <is>
          <t>item</t>
        </is>
      </c>
      <c r="H52" s="101" t="n">
        <v>1615.64</v>
      </c>
      <c r="I52" s="102">
        <f>SUM(H52*F52)</f>
        <v/>
      </c>
      <c r="J52" s="103" t="n"/>
      <c r="K52" s="4" t="n"/>
      <c r="L52" s="4" t="n"/>
      <c r="M52" s="4">
        <f>IF(B52="CW",SUM(O52*850),0)</f>
        <v/>
      </c>
      <c r="N52" s="4">
        <f>IF(B52="CW",SUM(O52*150),0)</f>
        <v/>
      </c>
      <c r="O52" s="21">
        <f>(TRIM(LEFT(E52,FIND("x",E52)-1)) * TRIM(MID(E52,FIND("x",E52)+1,LEN(E52)))) / 1000000</f>
        <v/>
      </c>
      <c r="P52" s="4" t="n"/>
    </row>
    <row r="53" ht="48" customHeight="1">
      <c r="B53" s="4" t="inlineStr"/>
      <c r="C53" s="97" t="inlineStr">
        <is>
          <t>Solar control glazing - upgrade of the outer pane to 4mm bronze anti-sun toughened throughout, per specification cl.8.</t>
        </is>
      </c>
      <c r="D53" s="90" t="n"/>
      <c r="E53" s="99" t="inlineStr">
        <is>
          <t>136.53 m2</t>
        </is>
      </c>
      <c r="F53" s="100" t="n">
        <v>1</v>
      </c>
      <c r="G53" s="92" t="inlineStr">
        <is>
          <t>item</t>
        </is>
      </c>
      <c r="H53" s="101" t="n">
        <v>1865.53</v>
      </c>
      <c r="I53" s="102">
        <f>SUM(H53*F53)</f>
        <v/>
      </c>
      <c r="J53" s="103" t="n"/>
      <c r="K53" s="4" t="n"/>
      <c r="L53" s="4" t="n"/>
      <c r="M53" s="4">
        <f>IF(B53="CW",SUM(O53*850),0)</f>
        <v/>
      </c>
      <c r="N53" s="4">
        <f>IF(B53="CW",SUM(O53*150),0)</f>
        <v/>
      </c>
      <c r="O53" s="21">
        <f>(TRIM(LEFT(E53,FIND("x",E53)-1)) * TRIM(MID(E53,FIND("x",E53)+1,LEN(E53)))) / 1000000</f>
        <v/>
      </c>
      <c r="P53" s="4" t="n"/>
    </row>
    <row r="54" ht="48" customHeight="1">
      <c r="B54" s="4" t="inlineStr"/>
      <c r="C54" s="89" t="inlineStr">
        <is>
          <t>Strip out of the existing metal framed windows and doorsets, set down on site for disposal by the main contractor.</t>
        </is>
      </c>
      <c r="D54" s="90" t="n"/>
      <c r="E54" s="99" t="inlineStr">
        <is>
          <t>43 openings</t>
        </is>
      </c>
      <c r="F54" s="91" t="n">
        <v>1</v>
      </c>
      <c r="G54" s="92" t="inlineStr">
        <is>
          <t>item</t>
        </is>
      </c>
      <c r="H54" s="86" t="n">
        <v>3084.28</v>
      </c>
      <c r="I54" s="88">
        <f>SUM(H54*F54)</f>
        <v/>
      </c>
      <c r="J54" s="93" t="n"/>
      <c r="K54" s="4" t="n"/>
      <c r="L54" s="4" t="n"/>
      <c r="M54" s="4">
        <f>IF(B54="CW",SUM(O54*850),0)</f>
        <v/>
      </c>
      <c r="N54" s="4">
        <f>IF(B54="CW",SUM(O54*150),0)</f>
        <v/>
      </c>
      <c r="O54" s="21">
        <f>(TRIM(LEFT(E54,FIND("x",E54)-1)) * TRIM(MID(E54,FIND("x",E54)+1,LEN(E54)))) / 1000000</f>
        <v/>
      </c>
      <c r="P54" s="4">
        <f>SUM(P9:P19)</f>
        <v/>
      </c>
      <c r="Q54" s="4" t="n"/>
    </row>
    <row r="55">
      <c r="C55" s="104" t="n"/>
      <c r="D55" s="105" t="n"/>
      <c r="E55" s="106" t="n"/>
      <c r="F55" s="106" t="n"/>
      <c r="G55" s="105" t="inlineStr">
        <is>
          <t>INSTALLATION</t>
        </is>
      </c>
      <c r="H55" s="107" t="n"/>
      <c r="I55" s="108">
        <f t="array" ref="I55">SUMPRODUCT((B9:B54="CW")*F9:F54*N9:N54)+SUMPRODUCT(F9:F54*IF(B9:B54="SUPD",250,IF(B9:B54="DUPD",500,IF(B9:B54="SAD",250,IF(B9:B54="DAD",500,IF(B9:B54="ELAW",250,IF(B9:B54="LAW",160,IF(B9:B54="MAW",160,IF(B9:B54="SAW",160,IF(B9:B54="LPVC",160,IF(B9:B54="MPVC",160,IF(B9:B54="SPVC",160,IF(B9:B54="SADLAW",410,IF(B9:B54="SADMAW",410,IF(B9:B54="SADSAW",410,0)))))))))))))))</f>
        <v/>
      </c>
      <c r="J55" s="4" t="n"/>
      <c r="K55" s="4" t="n"/>
      <c r="L55" s="4" t="n"/>
      <c r="M55" s="4" t="n"/>
      <c r="N55" s="4" t="n"/>
      <c r="O55" s="4" t="n"/>
      <c r="P55" s="4" t="n"/>
      <c r="Q55" s="4" t="n"/>
    </row>
    <row r="56">
      <c r="C56" s="109" t="n"/>
      <c r="D56" s="110" t="n"/>
      <c r="E56" s="111" t="n"/>
      <c r="F56" s="111" t="n"/>
      <c r="G56" s="111" t="n"/>
      <c r="H56" s="111" t="n"/>
      <c r="I56" s="112" t="n"/>
      <c r="J56" s="4" t="n"/>
      <c r="K56" s="4" t="inlineStr">
        <is>
          <t xml:space="preserve">   </t>
        </is>
      </c>
      <c r="L56" s="4" t="n"/>
      <c r="M56" s="4" t="n"/>
      <c r="N56" s="4" t="n"/>
      <c r="O56" s="4" t="n"/>
      <c r="P56" s="4" t="n"/>
      <c r="Q56" s="4" t="n"/>
    </row>
    <row r="57">
      <c r="C57" s="40" t="n"/>
      <c r="D57" s="30" t="n"/>
      <c r="E57" s="30" t="n"/>
      <c r="F57" s="111" t="n"/>
      <c r="G57" s="111" t="n"/>
      <c r="H57" s="111" t="inlineStr">
        <is>
          <t>TOTAL*</t>
        </is>
      </c>
      <c r="I57" s="113">
        <f>SUM(I9:I54)+I55</f>
        <v/>
      </c>
      <c r="J57" s="4" t="n"/>
      <c r="K57" s="4" t="n"/>
      <c r="L57" s="4" t="n"/>
      <c r="M57" s="4" t="n"/>
      <c r="N57" s="4" t="n"/>
      <c r="O57" s="4" t="n"/>
      <c r="P57" s="4" t="n"/>
      <c r="Q57" s="4" t="n"/>
    </row>
    <row r="58">
      <c r="C58" s="45" t="n"/>
      <c r="D58" s="32" t="n"/>
      <c r="E58" s="32" t="n"/>
      <c r="F58" s="114" t="n"/>
      <c r="G58" s="114" t="n"/>
      <c r="H58" s="114" t="n"/>
      <c r="I58" s="115" t="n"/>
      <c r="J58" s="4" t="n"/>
      <c r="K58" s="4" t="n"/>
      <c r="L58" s="4" t="n"/>
      <c r="M58" s="4" t="n"/>
      <c r="N58" s="4" t="n"/>
      <c r="O58" s="4" t="n"/>
      <c r="P58" s="4" t="n"/>
      <c r="Q58" s="4" t="n"/>
    </row>
    <row r="59">
      <c r="C59" s="4" t="n"/>
      <c r="D59" s="4" t="n"/>
      <c r="E59" s="4" t="n"/>
      <c r="F59" s="4" t="n"/>
      <c r="G59" s="4" t="n"/>
      <c r="H59" s="4" t="n"/>
      <c r="I59" s="4" t="n"/>
      <c r="J59" s="4" t="n"/>
      <c r="K59" s="4" t="n"/>
      <c r="L59" s="4" t="n"/>
      <c r="M59" s="4" t="n"/>
      <c r="N59" s="4" t="n"/>
      <c r="O59" s="4" t="n"/>
      <c r="P59" s="4" t="n"/>
      <c r="Q59" s="4" t="n"/>
    </row>
    <row r="60">
      <c r="C60" s="36" t="n"/>
      <c r="D60" s="61" t="inlineStr">
        <is>
          <t>OPTIONAL</t>
        </is>
      </c>
      <c r="E60" s="37" t="n"/>
      <c r="F60" s="106" t="n"/>
      <c r="G60" s="106" t="n"/>
      <c r="H60" s="106" t="n"/>
      <c r="I60" s="116" t="n"/>
      <c r="J60" s="4" t="n"/>
      <c r="K60" s="4" t="n"/>
      <c r="L60" s="4" t="n"/>
      <c r="M60" s="4" t="n"/>
      <c r="N60" s="4" t="n"/>
      <c r="O60" s="4" t="n"/>
      <c r="P60" s="4" t="n"/>
      <c r="Q60" s="4" t="n"/>
    </row>
    <row r="61">
      <c r="C61" s="40" t="n"/>
      <c r="D61" s="41" t="n"/>
      <c r="E61" s="42" t="n"/>
      <c r="F61" s="117" t="inlineStr">
        <is>
          <t>EXTERNAL MASTIC</t>
        </is>
      </c>
      <c r="I61" s="112" t="n">
        <v>0</v>
      </c>
      <c r="J61" s="4" t="n"/>
      <c r="K61" s="4" t="n"/>
      <c r="L61" s="4" t="n"/>
      <c r="M61" s="4" t="n"/>
      <c r="N61" s="4" t="n"/>
      <c r="O61" s="4" t="n"/>
      <c r="P61" s="4" t="n"/>
      <c r="Q61" s="4" t="n"/>
    </row>
    <row r="62">
      <c r="C62" s="40" t="n"/>
      <c r="D62" s="41" t="n"/>
      <c r="E62" s="42" t="n"/>
      <c r="F62" s="117" t="inlineStr">
        <is>
          <t>EDPM</t>
        </is>
      </c>
      <c r="I62" s="112" t="n">
        <v>0</v>
      </c>
      <c r="J62" s="4" t="n"/>
      <c r="K62" s="4" t="n"/>
      <c r="L62" s="4" t="n"/>
      <c r="M62" s="4" t="inlineStr">
        <is>
          <t xml:space="preserve"> </t>
        </is>
      </c>
      <c r="N62" s="4" t="n"/>
      <c r="O62" s="4" t="n"/>
      <c r="P62" s="4" t="n"/>
      <c r="Q62" s="4" t="n"/>
    </row>
    <row r="63">
      <c r="C63" s="45" t="n"/>
      <c r="D63" s="46" t="n"/>
      <c r="E63" s="46" t="n"/>
      <c r="F63" s="46" t="n"/>
      <c r="G63" s="46" t="n"/>
      <c r="H63" s="46" t="n"/>
      <c r="I63" s="47" t="n"/>
      <c r="J63" s="4" t="n"/>
      <c r="K63" s="5" t="n"/>
      <c r="L63" s="4" t="n"/>
      <c r="M63" s="4" t="n"/>
      <c r="N63" s="4" t="n"/>
      <c r="O63" s="4" t="n"/>
      <c r="P63" s="4" t="n"/>
      <c r="Q63" s="4" t="n"/>
    </row>
    <row r="64">
      <c r="C64" s="24" t="inlineStr">
        <is>
          <t xml:space="preserve">* Total value excluding VAT. </t>
        </is>
      </c>
      <c r="D64" s="20" t="n"/>
      <c r="E64" s="20" t="n"/>
    </row>
    <row r="65">
      <c r="C65" s="25" t="inlineStr">
        <is>
          <t>** This pricing document should be read in conjunction with the Terms and Conditions.</t>
        </is>
      </c>
      <c r="D65" s="20" t="n"/>
      <c r="E65" s="20" t="n"/>
    </row>
    <row r="66">
      <c r="C66" s="23" t="n"/>
      <c r="D66" s="20" t="n"/>
      <c r="E66" s="20" t="n"/>
    </row>
    <row r="67">
      <c r="C67" s="23" t="n"/>
      <c r="D67" s="20" t="n"/>
      <c r="E67" s="20" t="n"/>
    </row>
    <row r="68">
      <c r="C68" s="23" t="n"/>
      <c r="D68" s="20" t="n"/>
      <c r="E68" s="20" t="n"/>
    </row>
    <row r="69">
      <c r="C69" s="23" t="n"/>
      <c r="D69" s="20" t="n"/>
      <c r="E69" s="20" t="n"/>
    </row>
  </sheetData>
  <mergeCells count="51">
    <mergeCell ref="C34:D34"/>
    <mergeCell ref="C24:D24"/>
    <mergeCell ref="C30:D30"/>
    <mergeCell ref="C15:D15"/>
    <mergeCell ref="C33:D33"/>
    <mergeCell ref="C42:D42"/>
    <mergeCell ref="C14:D14"/>
    <mergeCell ref="C45:D45"/>
    <mergeCell ref="F62:H62"/>
    <mergeCell ref="C26:D26"/>
    <mergeCell ref="C35:D35"/>
    <mergeCell ref="C20:D20"/>
    <mergeCell ref="C29:D29"/>
    <mergeCell ref="C10:D10"/>
    <mergeCell ref="C16:D16"/>
    <mergeCell ref="C47:D47"/>
    <mergeCell ref="C54:D54"/>
    <mergeCell ref="C25:D25"/>
    <mergeCell ref="C41:D41"/>
    <mergeCell ref="C50:D50"/>
    <mergeCell ref="C44:D44"/>
    <mergeCell ref="C22:D22"/>
    <mergeCell ref="C40:D40"/>
    <mergeCell ref="C9:D9"/>
    <mergeCell ref="F61:H61"/>
    <mergeCell ref="C31:D31"/>
    <mergeCell ref="C43:D43"/>
    <mergeCell ref="C12:D12"/>
    <mergeCell ref="C46:D46"/>
    <mergeCell ref="C21:D21"/>
    <mergeCell ref="C11:D11"/>
    <mergeCell ref="C51:D51"/>
    <mergeCell ref="C27:D27"/>
    <mergeCell ref="C36:D36"/>
    <mergeCell ref="C52:D52"/>
    <mergeCell ref="C48:D48"/>
    <mergeCell ref="C17:D17"/>
    <mergeCell ref="C23:D23"/>
    <mergeCell ref="C39:D39"/>
    <mergeCell ref="C8:D8"/>
    <mergeCell ref="G55:H55"/>
    <mergeCell ref="C32:D32"/>
    <mergeCell ref="C7:D7"/>
    <mergeCell ref="C38:D38"/>
    <mergeCell ref="C19:D19"/>
    <mergeCell ref="C37:D37"/>
    <mergeCell ref="C28:D28"/>
    <mergeCell ref="C13:D13"/>
    <mergeCell ref="C18:D18"/>
    <mergeCell ref="C53:D53"/>
    <mergeCell ref="C49:D49"/>
  </mergeCells>
  <printOptions horizontalCentered="1"/>
  <pageMargins left="0.7086614173228347" right="0.7086614173228347" top="0.7480314960629921" bottom="0.7480314960629921" header="0.3149606299212598" footer="0.3149606299212598"/>
  <pageSetup orientation="portrait" paperSize="9" scale="7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Fenster Glazing</dc:creator>
  <dcterms:created xmlns:dcterms="http://purl.org/dc/terms/" xmlns:xsi="http://www.w3.org/2001/XMLSchema-instance" xsi:type="dcterms:W3CDTF">2018-12-07T08:13:03Z</dcterms:created>
  <dcterms:modified xmlns:dcterms="http://purl.org/dc/terms/" xmlns:xsi="http://www.w3.org/2001/XMLSchema-instance" xsi:type="dcterms:W3CDTF">2026-07-28T20:25:00Z</dcterms:modified>
  <cp:lastModifiedBy>Fenster Glazing</cp:lastModifiedBy>
</cp:coreProperties>
</file>