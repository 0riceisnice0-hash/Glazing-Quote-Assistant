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965" firstSheet="0" activeTab="0" autoFilterDateGrouping="1"/>
  </bookViews>
  <sheets>
    <sheet xmlns:r="http://schemas.openxmlformats.org/officeDocument/2006/relationships" name="Pricing Document 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ccess_Control">'[1]Item Budgets'!$B$156:$B$167</definedName>
    <definedName name="Audio_Visual">'[1]Item Budgets'!$B$167:$B$178</definedName>
    <definedName name="Beam">#REF!</definedName>
    <definedName name="Beams">#REF!</definedName>
    <definedName name="BeamTon">#REF!</definedName>
    <definedName name="Channel">#REF!</definedName>
    <definedName name="Channels">#REF!</definedName>
    <definedName name="ChannelTon">#REF!</definedName>
    <definedName name="CHSs">#REF!</definedName>
    <definedName name="Column">#REF!</definedName>
    <definedName name="Columns">#REF!</definedName>
    <definedName name="ColumnTon">#REF!</definedName>
    <definedName name="CONTAINMENT">'[1]Item Budgets'!$B$95:$B$111</definedName>
    <definedName name="DISTRIBUTION">'[1]Item Budgets'!$B$123:$B$134</definedName>
    <definedName name="EMERGENCY_LIGHTING">'[1]Item Budgets'!$B$23:$B$34</definedName>
    <definedName name="Equal">#REF!</definedName>
    <definedName name="EqualTon">#REF!</definedName>
    <definedName name="FIRE_ALARM">'[1]Item Budgets'!$B$112:$B$123</definedName>
    <definedName name="Heating_Interface">'[1]Item Budgets'!$B$178:$B$189</definedName>
    <definedName name="Lighting">'[1]Item Budgets'!$B$4:$B$23</definedName>
    <definedName name="LIGHTING_CONTROL">'[1]Item Budgets'!$B$34:$B$45</definedName>
    <definedName name="LIST">[1]Containment!#REF!</definedName>
    <definedName name="List1">#REF!</definedName>
    <definedName name="List2">#REF!</definedName>
    <definedName name="List3">#REF!</definedName>
    <definedName name="Mechanical_Supplies">'[1]Item Budgets'!$B$134:$B$145</definedName>
    <definedName name="MISCELLANEOUS">'[1]Item Budgets'!$B$189:$B$207</definedName>
    <definedName name="PCFTon">#REF!</definedName>
    <definedName name="PFC">#REF!</definedName>
    <definedName name="PFCs">#REF!</definedName>
    <definedName name="PFCTon">#REF!</definedName>
    <definedName name="PRELIMS">'[1]Item Budgets'!$B$207:$B$216</definedName>
    <definedName name="RHS">#REF!</definedName>
    <definedName name="RHSs">#REF!</definedName>
    <definedName name="RHSTon">#REF!</definedName>
    <definedName name="RSJ">#REF!</definedName>
    <definedName name="RSJs">#REF!</definedName>
    <definedName name="RSJTon">#REF!</definedName>
    <definedName name="SHS">#REF!</definedName>
    <definedName name="SHSs">#REF!</definedName>
    <definedName name="SHSsTon">#REF!</definedName>
    <definedName name="SHSTon">#REF!</definedName>
    <definedName name="Site_Temporaries">'[1]Item Budgets'!$B$217:$B$228</definedName>
    <definedName name="SMALL_POWER">'[1]Item Budgets'!$B$45:$B$95</definedName>
    <definedName name="Steels">#REF!</definedName>
    <definedName name="Type">#REF!,#REF!,#REF!,#REF!,#REF!,#REF!,#REF!,#REF!,#REF!</definedName>
    <definedName name="Types">'[2]Type List'!$A$2:$A$8</definedName>
    <definedName name="Unequal">#REF!</definedName>
    <definedName name="UnequalTon">#REF!</definedName>
    <definedName name="Ventilation">'[1]Item Budgets'!$B$145:$B$156</definedName>
    <definedName name="_xlnm.Print_Titles" localSheetId="0">'Pricing Document '!$2:$7</definedName>
    <definedName name="_xlnm.Print_Area" localSheetId="0">'Pricing Document '!$C$1:$I$31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&quot;£&quot;#,##0.00;[Red]\-&quot;£&quot;#,##0.00"/>
    <numFmt numFmtId="166" formatCode="_-&quot;£&quot;* #,##0.00_-;\-&quot;£&quot;* #,##0.00_-;_-&quot;£&quot;* &quot;-&quot;??_-;_-@_-"/>
    <numFmt numFmtId="167" formatCode="General_)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ill Sans"/>
      <family val="2"/>
      <sz val="10"/>
    </font>
    <font>
      <name val="Courier"/>
      <family val="3"/>
      <sz val="10"/>
    </font>
    <font>
      <name val="Arial"/>
      <family val="2"/>
      <sz val="10"/>
    </font>
    <font>
      <name val="Times New Roman"/>
      <family val="1"/>
      <color rgb="FF000000"/>
      <sz val="10"/>
    </font>
    <font>
      <name val="Times New Roman"/>
      <family val="1"/>
      <color theme="10"/>
      <sz val="10"/>
      <u val="single"/>
    </font>
    <font>
      <name val="Aptos"/>
      <family val="2"/>
      <sz val="10"/>
    </font>
    <font>
      <name val="Aptos"/>
      <family val="2"/>
      <sz val="14"/>
    </font>
    <font>
      <name val="Aptos"/>
      <family val="2"/>
      <b val="1"/>
      <color theme="0"/>
      <sz val="12"/>
    </font>
    <font>
      <name val="Aptos"/>
      <family val="2"/>
      <b val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8"/>
    </font>
    <font>
      <name val="Aptos"/>
      <family val="2"/>
      <b val="1"/>
      <i val="1"/>
      <color theme="1"/>
      <sz val="11"/>
    </font>
    <font>
      <name val="Aptos"/>
      <family val="2"/>
      <i val="1"/>
      <color theme="1"/>
      <sz val="11"/>
    </font>
    <font>
      <name val="Aptos"/>
      <family val="2"/>
      <b val="1"/>
      <sz val="11"/>
    </font>
    <font>
      <name val="Aptos"/>
      <family val="2"/>
      <b val="1"/>
      <sz val="12"/>
    </font>
    <font>
      <name val="Gill Sans"/>
      <b val="1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D3A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0">
    <xf numFmtId="0" fontId="1" fillId="0" borderId="0"/>
    <xf numFmtId="43" fontId="1" fillId="0" borderId="0"/>
    <xf numFmtId="167" fontId="3" fillId="0" borderId="0"/>
    <xf numFmtId="0" fontId="5" fillId="0" borderId="0"/>
    <xf numFmtId="44" fontId="5" fillId="0" borderId="0"/>
    <xf numFmtId="0" fontId="6" fillId="0" borderId="0"/>
    <xf numFmtId="0" fontId="4" fillId="0" borderId="0"/>
    <xf numFmtId="44" fontId="1" fillId="0" borderId="0"/>
    <xf numFmtId="43" fontId="1" fillId="0" borderId="0"/>
    <xf numFmtId="44" fontId="1" fillId="0" borderId="0"/>
  </cellStyleXfs>
  <cellXfs count="11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2" fontId="9" fillId="3" borderId="9" applyAlignment="1" pivotButton="0" quotePrefix="0" xfId="0">
      <alignment vertical="center"/>
    </xf>
    <xf numFmtId="2" fontId="9" fillId="3" borderId="16" applyAlignment="1" pivotButton="0" quotePrefix="0" xfId="0">
      <alignment vertical="center"/>
    </xf>
    <xf numFmtId="2" fontId="9" fillId="3" borderId="8" applyAlignment="1" pivotButton="0" quotePrefix="0" xfId="0">
      <alignment vertical="center"/>
    </xf>
    <xf numFmtId="0" fontId="9" fillId="3" borderId="3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3" borderId="4" applyAlignment="1" pivotButton="0" quotePrefix="0" xfId="0">
      <alignment vertical="center"/>
    </xf>
    <xf numFmtId="14" fontId="9" fillId="3" borderId="0" applyAlignment="1" pivotButton="0" quotePrefix="0" xfId="0">
      <alignment horizontal="left" vertical="center"/>
    </xf>
    <xf numFmtId="0" fontId="10" fillId="0" borderId="13" applyAlignment="1" pivotButton="0" quotePrefix="0" xfId="0">
      <alignment horizontal="left" wrapText="1" indent="2"/>
    </xf>
    <xf numFmtId="164" fontId="7" fillId="0" borderId="13" applyAlignment="1" pivotButton="0" quotePrefix="0" xfId="1">
      <alignment horizontal="left" vertical="center" wrapText="1" indent="1"/>
    </xf>
    <xf numFmtId="164" fontId="7" fillId="0" borderId="13" applyAlignment="1" pivotButton="0" quotePrefix="0" xfId="1">
      <alignment horizontal="left" wrapText="1"/>
    </xf>
    <xf numFmtId="164" fontId="7" fillId="0" borderId="13" applyAlignment="1" pivotButton="0" quotePrefix="0" xfId="1">
      <alignment horizontal="left" wrapText="1"/>
    </xf>
    <xf numFmtId="164" fontId="7" fillId="0" borderId="15" applyAlignment="1" pivotButton="0" quotePrefix="0" xfId="1">
      <alignment horizontal="right" vertical="center"/>
    </xf>
    <xf numFmtId="165" fontId="7" fillId="0" borderId="11" applyAlignment="1" pivotButton="0" quotePrefix="0" xfId="0">
      <alignment horizontal="center" vertical="center"/>
    </xf>
    <xf numFmtId="164" fontId="7" fillId="0" borderId="13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vertical="center"/>
    </xf>
    <xf numFmtId="0" fontId="11" fillId="0" borderId="0" pivotButton="0" quotePrefix="0" xfId="0"/>
    <xf numFmtId="9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2" fillId="2" borderId="18" applyAlignment="1" pivotButton="0" quotePrefix="0" xfId="0">
      <alignment horizontal="left" vertical="center"/>
    </xf>
    <xf numFmtId="0" fontId="12" fillId="2" borderId="19" applyAlignment="1" pivotButton="0" quotePrefix="0" xfId="0">
      <alignment horizontal="left" vertical="center"/>
    </xf>
    <xf numFmtId="0" fontId="12" fillId="2" borderId="19" applyAlignment="1" pivotButton="0" quotePrefix="0" xfId="0">
      <alignment vertical="top"/>
    </xf>
    <xf numFmtId="0" fontId="12" fillId="2" borderId="20" applyAlignment="1" pivotButton="0" quotePrefix="0" xfId="0">
      <alignment vertical="top"/>
    </xf>
    <xf numFmtId="0" fontId="10" fillId="2" borderId="0" applyAlignment="1" pivotButton="0" quotePrefix="0" xfId="0">
      <alignment horizontal="left" wrapText="1"/>
    </xf>
    <xf numFmtId="166" fontId="10" fillId="2" borderId="4" applyAlignment="1" pivotButton="0" quotePrefix="0" xfId="9">
      <alignment horizontal="right"/>
    </xf>
    <xf numFmtId="0" fontId="10" fillId="2" borderId="6" applyAlignment="1" pivotButton="0" quotePrefix="0" xfId="0">
      <alignment horizontal="left" wrapText="1"/>
    </xf>
    <xf numFmtId="164" fontId="10" fillId="2" borderId="7" applyAlignment="1" pivotButton="0" quotePrefix="0" xfId="1">
      <alignment horizontal="right"/>
    </xf>
    <xf numFmtId="167" fontId="10" fillId="2" borderId="17" applyAlignment="1" pivotButton="0" quotePrefix="0" xfId="2">
      <alignment horizontal="center" vertical="center"/>
    </xf>
    <xf numFmtId="4" fontId="10" fillId="2" borderId="14" applyAlignment="1" pivotButton="0" quotePrefix="0" xfId="2">
      <alignment horizontal="center" vertical="center"/>
    </xf>
    <xf numFmtId="0" fontId="10" fillId="2" borderId="10" pivotButton="0" quotePrefix="0" xfId="0"/>
    <xf numFmtId="0" fontId="10" fillId="2" borderId="1" applyAlignment="1" pivotButton="0" quotePrefix="0" xfId="0">
      <alignment horizontal="left" wrapText="1"/>
    </xf>
    <xf numFmtId="164" fontId="10" fillId="2" borderId="1" pivotButton="0" quotePrefix="0" xfId="1"/>
    <xf numFmtId="164" fontId="10" fillId="2" borderId="2" applyAlignment="1" pivotButton="0" quotePrefix="0" xfId="1">
      <alignment horizontal="right"/>
    </xf>
    <xf numFmtId="0" fontId="10" fillId="2" borderId="3" pivotButton="0" quotePrefix="0" xfId="0"/>
    <xf numFmtId="0" fontId="15" fillId="2" borderId="0" applyAlignment="1" pivotButton="0" quotePrefix="0" xfId="0">
      <alignment horizontal="center"/>
    </xf>
    <xf numFmtId="0" fontId="10" fillId="2" borderId="0" pivotButton="0" quotePrefix="0" xfId="0"/>
    <xf numFmtId="164" fontId="10" fillId="2" borderId="0" pivotButton="0" quotePrefix="0" xfId="1"/>
    <xf numFmtId="166" fontId="10" fillId="2" borderId="4" pivotButton="0" quotePrefix="0" xfId="9"/>
    <xf numFmtId="0" fontId="10" fillId="2" borderId="5" pivotButton="0" quotePrefix="0" xfId="0"/>
    <xf numFmtId="0" fontId="10" fillId="2" borderId="6" pivotButton="0" quotePrefix="0" xfId="0"/>
    <xf numFmtId="0" fontId="10" fillId="2" borderId="7" pivotButton="0" quotePrefix="0" xfId="0"/>
    <xf numFmtId="164" fontId="10" fillId="2" borderId="10" pivotButton="0" quotePrefix="0" xfId="1"/>
    <xf numFmtId="164" fontId="10" fillId="2" borderId="1" applyAlignment="1" pivotButton="0" quotePrefix="0" xfId="1">
      <alignment horizontal="center"/>
    </xf>
    <xf numFmtId="166" fontId="10" fillId="2" borderId="2" pivotButton="0" quotePrefix="0" xfId="9"/>
    <xf numFmtId="164" fontId="10" fillId="2" borderId="3" pivotButton="0" quotePrefix="0" xfId="1"/>
    <xf numFmtId="166" fontId="10" fillId="2" borderId="4" pivotButton="0" quotePrefix="0" xfId="9"/>
    <xf numFmtId="164" fontId="10" fillId="2" borderId="6" pivotButton="0" quotePrefix="0" xfId="1"/>
    <xf numFmtId="0" fontId="0" fillId="0" borderId="12" applyAlignment="1" pivotButton="0" quotePrefix="0" xfId="0">
      <alignment horizontal="center"/>
    </xf>
    <xf numFmtId="166" fontId="2" fillId="0" borderId="0" pivotButton="0" quotePrefix="0" xfId="9"/>
    <xf numFmtId="166" fontId="11" fillId="0" borderId="0" pivotButton="0" quotePrefix="0" xfId="9"/>
    <xf numFmtId="2" fontId="11" fillId="0" borderId="0" pivotButton="0" quotePrefix="0" xfId="0"/>
    <xf numFmtId="164" fontId="2" fillId="0" borderId="11" applyAlignment="1" pivotButton="0" quotePrefix="0" xfId="1">
      <alignment horizontal="center" vertical="center"/>
    </xf>
    <xf numFmtId="164" fontId="2" fillId="0" borderId="11" applyAlignment="1" pivotButton="0" quotePrefix="0" xfId="1">
      <alignment horizontal="right" vertical="center"/>
    </xf>
    <xf numFmtId="164" fontId="10" fillId="2" borderId="0" applyAlignment="1" pivotButton="0" quotePrefix="0" xfId="1">
      <alignment horizontal="center"/>
    </xf>
    <xf numFmtId="0" fontId="16" fillId="2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wrapText="1"/>
    </xf>
    <xf numFmtId="0" fontId="0" fillId="0" borderId="12" applyAlignment="1" pivotButton="0" quotePrefix="0" xfId="0">
      <alignment horizontal="center" vertical="center"/>
    </xf>
    <xf numFmtId="0" fontId="7" fillId="0" borderId="23" applyAlignment="1" pivotButton="0" quotePrefix="1" xfId="0">
      <alignment horizontal="center" vertical="center" wrapText="1"/>
    </xf>
    <xf numFmtId="0" fontId="7" fillId="0" borderId="24" applyAlignment="1" pivotButton="0" quotePrefix="1" xfId="0">
      <alignment horizontal="center" vertical="center" wrapText="1"/>
    </xf>
    <xf numFmtId="167" fontId="10" fillId="2" borderId="25" applyAlignment="1" pivotButton="0" quotePrefix="0" xfId="2">
      <alignment horizontal="center" vertical="center"/>
    </xf>
    <xf numFmtId="167" fontId="10" fillId="2" borderId="26" applyAlignment="1" pivotButton="0" quotePrefix="0" xfId="2">
      <alignment horizontal="center" vertical="center"/>
    </xf>
    <xf numFmtId="0" fontId="10" fillId="0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7" fillId="0" borderId="23" applyAlignment="1" pivotButton="0" quotePrefix="1" xfId="0">
      <alignment horizontal="center" vertical="center"/>
    </xf>
    <xf numFmtId="0" fontId="7" fillId="0" borderId="24" applyAlignment="1" pivotButton="0" quotePrefix="1" xfId="0">
      <alignment horizontal="center" vertical="center"/>
    </xf>
    <xf numFmtId="0" fontId="10" fillId="0" borderId="23" applyAlignment="1" pivotButton="0" quotePrefix="1" xfId="0">
      <alignment horizontal="center" vertical="center" wrapText="1"/>
    </xf>
    <xf numFmtId="0" fontId="10" fillId="0" borderId="24" applyAlignment="1" pivotButton="0" quotePrefix="1" xfId="0">
      <alignment horizontal="center" vertical="center" wrapText="1"/>
    </xf>
    <xf numFmtId="164" fontId="10" fillId="2" borderId="0" applyAlignment="1" pivotButton="0" quotePrefix="0" xfId="1">
      <alignment horizontal="right"/>
    </xf>
    <xf numFmtId="164" fontId="10" fillId="2" borderId="1" applyAlignment="1" pivotButton="0" quotePrefix="0" xfId="1">
      <alignment horizontal="center"/>
    </xf>
    <xf numFmtId="0" fontId="7" fillId="0" borderId="27" applyAlignment="1" pivotButton="0" quotePrefix="1" xfId="0">
      <alignment horizontal="center" vertical="center" wrapText="1"/>
    </xf>
    <xf numFmtId="0" fontId="7" fillId="0" borderId="28" applyAlignment="1" pivotButton="0" quotePrefix="1" xfId="0">
      <alignment horizontal="center" vertical="center" wrapText="1"/>
    </xf>
    <xf numFmtId="0" fontId="18" fillId="0" borderId="24" applyAlignment="1" pivotButton="0" quotePrefix="1" xfId="0">
      <alignment horizontal="center" vertical="center"/>
    </xf>
    <xf numFmtId="0" fontId="18" fillId="0" borderId="23" applyAlignment="1" pivotButton="0" quotePrefix="1" xfId="0">
      <alignment horizontal="center" vertical="center"/>
    </xf>
    <xf numFmtId="166" fontId="11" fillId="0" borderId="0" pivotButton="0" quotePrefix="0" xfId="9"/>
    <xf numFmtId="167" fontId="10" fillId="2" borderId="33" applyAlignment="1" pivotButton="0" quotePrefix="0" xfId="2">
      <alignment horizontal="center" vertical="center"/>
    </xf>
    <xf numFmtId="0" fontId="0" fillId="0" borderId="26" pivotButton="0" quotePrefix="0" xfId="0"/>
    <xf numFmtId="167" fontId="10" fillId="2" borderId="17" applyAlignment="1" pivotButton="0" quotePrefix="0" xfId="2">
      <alignment horizontal="center" vertical="center"/>
    </xf>
    <xf numFmtId="0" fontId="10" fillId="0" borderId="35" applyAlignment="1" pivotButton="0" quotePrefix="0" xfId="0">
      <alignment horizontal="center" vertical="center" wrapText="1"/>
    </xf>
    <xf numFmtId="0" fontId="0" fillId="0" borderId="22" pivotButton="0" quotePrefix="0" xfId="0"/>
    <xf numFmtId="164" fontId="7" fillId="0" borderId="13" applyAlignment="1" pivotButton="0" quotePrefix="0" xfId="1">
      <alignment horizontal="left" vertical="center" wrapText="1" indent="1"/>
    </xf>
    <xf numFmtId="164" fontId="7" fillId="0" borderId="13" applyAlignment="1" pivotButton="0" quotePrefix="0" xfId="1">
      <alignment horizontal="left" wrapText="1"/>
    </xf>
    <xf numFmtId="164" fontId="7" fillId="0" borderId="15" applyAlignment="1" pivotButton="0" quotePrefix="0" xfId="1">
      <alignment horizontal="right" vertical="center"/>
    </xf>
    <xf numFmtId="0" fontId="18" fillId="0" borderId="32" applyAlignment="1" pivotButton="0" quotePrefix="1" xfId="0">
      <alignment horizontal="center" vertical="center"/>
    </xf>
    <xf numFmtId="0" fontId="0" fillId="0" borderId="24" pivotButton="0" quotePrefix="0" xfId="0"/>
    <xf numFmtId="164" fontId="2" fillId="0" borderId="11" applyAlignment="1" pivotButton="0" quotePrefix="0" xfId="1">
      <alignment horizontal="center" vertical="center"/>
    </xf>
    <xf numFmtId="165" fontId="7" fillId="0" borderId="11" applyAlignment="1" pivotButton="0" quotePrefix="0" xfId="0">
      <alignment horizontal="center" vertical="center"/>
    </xf>
    <xf numFmtId="166" fontId="2" fillId="0" borderId="0" pivotButton="0" quotePrefix="0" xfId="9"/>
    <xf numFmtId="0" fontId="7" fillId="0" borderId="32" applyAlignment="1" pivotButton="0" quotePrefix="1" xfId="0">
      <alignment horizontal="center" vertical="center"/>
    </xf>
    <xf numFmtId="0" fontId="7" fillId="0" borderId="32" applyAlignment="1" pivotButton="0" quotePrefix="1" xfId="0">
      <alignment horizontal="center" vertical="center" wrapText="1"/>
    </xf>
    <xf numFmtId="164" fontId="2" fillId="0" borderId="11" applyAlignment="1" pivotButton="0" quotePrefix="0" xfId="1">
      <alignment horizontal="right" vertical="center"/>
    </xf>
    <xf numFmtId="0" fontId="10" fillId="0" borderId="32" applyAlignment="1" pivotButton="0" quotePrefix="1" xfId="0">
      <alignment horizontal="center" vertical="center" wrapText="1"/>
    </xf>
    <xf numFmtId="0" fontId="18" fillId="0" borderId="32" applyAlignment="1" pivotButton="0" quotePrefix="0" xfId="0">
      <alignment horizontal="center" vertical="center"/>
    </xf>
    <xf numFmtId="0" fontId="1" fillId="0" borderId="24" pivotButton="0" quotePrefix="0" xfId="0"/>
    <xf numFmtId="0" fontId="1" fillId="0" borderId="12" applyAlignment="1" pivotButton="0" quotePrefix="0" xfId="0">
      <alignment horizontal="center"/>
    </xf>
    <xf numFmtId="164" fontId="2" fillId="0" borderId="11" applyAlignment="1" pivotButton="0" quotePrefix="0" xfId="0">
      <alignment horizontal="center" vertical="center"/>
    </xf>
    <xf numFmtId="164" fontId="7" fillId="0" borderId="13" applyAlignment="1" pivotButton="0" quotePrefix="0" xfId="0">
      <alignment horizontal="left" vertical="center" wrapText="1" indent="1"/>
    </xf>
    <xf numFmtId="164" fontId="7" fillId="0" borderId="15" applyAlignment="1" pivotButton="0" quotePrefix="0" xfId="0">
      <alignment horizontal="right" vertical="center"/>
    </xf>
    <xf numFmtId="166" fontId="2" fillId="0" borderId="0" pivotButton="0" quotePrefix="0" xfId="0"/>
    <xf numFmtId="164" fontId="10" fillId="2" borderId="10" pivotButton="0" quotePrefix="0" xfId="1"/>
    <xf numFmtId="164" fontId="10" fillId="2" borderId="1" applyAlignment="1" pivotButton="0" quotePrefix="0" xfId="1">
      <alignment horizontal="center"/>
    </xf>
    <xf numFmtId="164" fontId="10" fillId="2" borderId="1" pivotButton="0" quotePrefix="0" xfId="1"/>
    <xf numFmtId="0" fontId="0" fillId="0" borderId="1" pivotButton="0" quotePrefix="0" xfId="0"/>
    <xf numFmtId="166" fontId="10" fillId="2" borderId="2" pivotButton="0" quotePrefix="0" xfId="9"/>
    <xf numFmtId="164" fontId="10" fillId="2" borderId="3" pivotButton="0" quotePrefix="0" xfId="1"/>
    <xf numFmtId="164" fontId="10" fillId="2" borderId="0" applyAlignment="1" pivotButton="0" quotePrefix="0" xfId="1">
      <alignment horizontal="center"/>
    </xf>
    <xf numFmtId="164" fontId="10" fillId="2" borderId="0" pivotButton="0" quotePrefix="0" xfId="1"/>
    <xf numFmtId="166" fontId="10" fillId="2" borderId="4" pivotButton="0" quotePrefix="0" xfId="9"/>
    <xf numFmtId="166" fontId="10" fillId="2" borderId="4" applyAlignment="1" pivotButton="0" quotePrefix="0" xfId="9">
      <alignment horizontal="right"/>
    </xf>
    <xf numFmtId="164" fontId="10" fillId="2" borderId="6" pivotButton="0" quotePrefix="0" xfId="1"/>
    <xf numFmtId="164" fontId="10" fillId="2" borderId="7" applyAlignment="1" pivotButton="0" quotePrefix="0" xfId="1">
      <alignment horizontal="right"/>
    </xf>
    <xf numFmtId="164" fontId="10" fillId="2" borderId="2" applyAlignment="1" pivotButton="0" quotePrefix="0" xfId="1">
      <alignment horizontal="right"/>
    </xf>
    <xf numFmtId="164" fontId="10" fillId="2" borderId="0" applyAlignment="1" pivotButton="0" quotePrefix="0" xfId="1">
      <alignment horizontal="right"/>
    </xf>
  </cellXfs>
  <cellStyles count="10">
    <cellStyle name="Normal" xfId="0" builtinId="0"/>
    <cellStyle name="Comma" xfId="1" builtinId="3"/>
    <cellStyle name="Normal_Hand dug" xfId="2"/>
    <cellStyle name="Normal 5" xfId="3"/>
    <cellStyle name="Currency 2" xfId="4"/>
    <cellStyle name="Hyperlink 2" xfId="5"/>
    <cellStyle name="Normal 2" xfId="6"/>
    <cellStyle name="Currency 3" xfId="7"/>
    <cellStyle name="Comma 2" xfId="8"/>
    <cellStyle name="Currency" xfId="9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2</col>
      <colOff>286459</colOff>
      <row>1</row>
      <rowOff>168861</rowOff>
    </from>
    <to>
      <col>4</col>
      <colOff>155090</colOff>
      <row>1</row>
      <rowOff>1222993</rowOff>
    </to>
    <pic>
      <nvPicPr>
        <cNvPr id="2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01849" y="363171"/>
          <a:ext cx="2653740" cy="10503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iamO'Donnell\AppData\Local\Microsoft\Windows\INetCache\Content.Outlook\GM4B1OQ8\Electrical%20Template%20-%20Draft%20-%20REV010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Parke\AppData\Local\Microsoft\Windows\INetCache\Content.Outlook\MIF0VXSH\The%20Datum%20Group%20Electrical%20-%20TEMPLATE%20-%20Detailed%20breakdown%20Rev%205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ecklist"/>
      <sheetName val="Summary"/>
      <sheetName val="Price Breakdown"/>
      <sheetName val="Item Budgets"/>
      <sheetName val="Containment"/>
      <sheetName val="Project Type"/>
      <sheetName val="Procore Measure"/>
      <sheetName val="Item Categories"/>
    </sheetNames>
    <sheetDataSet>
      <sheetData sheetId="0"/>
      <sheetData sheetId="1"/>
      <sheetData sheetId="2"/>
      <sheetData sheetId="3">
        <row r="4">
          <cell r="B4" t="str">
            <v>LIGHTING</v>
          </cell>
        </row>
        <row r="5">
          <cell r="B5" t="str">
            <v>Ceiling Mounted Luminaire</v>
          </cell>
        </row>
        <row r="6">
          <cell r="B6" t="str">
            <v>Double Sided Illuminated Emergency Exit Sign</v>
          </cell>
        </row>
        <row r="7">
          <cell r="B7" t="str">
            <v>Floor Mounted Luminaire - X12</v>
          </cell>
        </row>
        <row r="8">
          <cell r="B8" t="str">
            <v>Illuminated Emergency Exit Sign</v>
          </cell>
        </row>
        <row r="9">
          <cell r="B9" t="str">
            <v>Illuminated Emergency Exit Sign With Direction Arrow</v>
          </cell>
        </row>
        <row r="10">
          <cell r="B10" t="str">
            <v>Led Emergency Downlight</v>
          </cell>
        </row>
        <row r="11">
          <cell r="B11" t="str">
            <v>Led Strip Light</v>
          </cell>
        </row>
        <row r="12">
          <cell r="B12" t="str">
            <v>Lighting Wiring Point</v>
          </cell>
        </row>
        <row r="13">
          <cell r="B13" t="str">
            <v>Linear Luminaire</v>
          </cell>
        </row>
        <row r="14">
          <cell r="B14" t="str">
            <v>Photocell</v>
          </cell>
        </row>
        <row r="15">
          <cell r="B15" t="str">
            <v>PV Inverted, Relay &amp; DC/AC Isolator + Single Socket Outlet And RJ45 For Data For PV Panels</v>
          </cell>
        </row>
        <row r="16">
          <cell r="B16" t="str">
            <v>Recessed Modular Downlighter</v>
          </cell>
        </row>
        <row r="17">
          <cell r="B17" t="str">
            <v xml:space="preserve">Recessed Modular Uplighter </v>
          </cell>
        </row>
        <row r="18">
          <cell r="B18" t="str">
            <v>Wall Mounted Luminaire</v>
          </cell>
        </row>
        <row r="19">
          <cell r="B19" t="str">
            <v>Wall Mounted Luminaire - Emergency</v>
          </cell>
        </row>
        <row r="23">
          <cell r="B23" t="str">
            <v>EMERGENCY LIGHTING</v>
          </cell>
        </row>
        <row r="24">
          <cell r="B24" t="str">
            <v>EL Item 1</v>
          </cell>
        </row>
        <row r="25">
          <cell r="B25" t="str">
            <v>EL Item 2</v>
          </cell>
        </row>
        <row r="26">
          <cell r="B26" t="str">
            <v>EL Item 3</v>
          </cell>
        </row>
        <row r="27">
          <cell r="B27" t="str">
            <v>EL Item 4</v>
          </cell>
        </row>
        <row r="28">
          <cell r="B28" t="str">
            <v>EL Item 5</v>
          </cell>
        </row>
        <row r="29">
          <cell r="B29" t="str">
            <v>EL Item 6</v>
          </cell>
        </row>
        <row r="30">
          <cell r="B30" t="str">
            <v>EL Item 7</v>
          </cell>
        </row>
        <row r="31">
          <cell r="B31" t="str">
            <v>EL Item 8</v>
          </cell>
        </row>
        <row r="34">
          <cell r="B34" t="str">
            <v>LIGHTING CONTROL</v>
          </cell>
        </row>
        <row r="35">
          <cell r="B35" t="str">
            <v>LC Item 1</v>
          </cell>
        </row>
        <row r="36">
          <cell r="B36" t="str">
            <v>LC Item 2</v>
          </cell>
        </row>
        <row r="37">
          <cell r="B37" t="str">
            <v>LC Item 3</v>
          </cell>
        </row>
        <row r="38">
          <cell r="B38" t="str">
            <v>LC Item 4</v>
          </cell>
        </row>
        <row r="39">
          <cell r="B39" t="str">
            <v>LC Item 5</v>
          </cell>
        </row>
        <row r="40">
          <cell r="B40" t="str">
            <v>LC Item 6</v>
          </cell>
        </row>
        <row r="41">
          <cell r="B41" t="str">
            <v>LC Item 7</v>
          </cell>
        </row>
        <row r="42">
          <cell r="B42" t="str">
            <v>LC Item 8</v>
          </cell>
        </row>
        <row r="45">
          <cell r="B45" t="str">
            <v>SMALL POWER</v>
          </cell>
        </row>
        <row r="46">
          <cell r="B46" t="str">
            <v>1 Gang Switch</v>
          </cell>
        </row>
        <row r="47">
          <cell r="B47" t="str">
            <v>1 Gang Dimmer Switch</v>
          </cell>
        </row>
        <row r="48">
          <cell r="B48" t="str">
            <v>2 Gang Switch</v>
          </cell>
        </row>
        <row r="49">
          <cell r="B49" t="str">
            <v>20A Oven Control Unit</v>
          </cell>
        </row>
        <row r="50">
          <cell r="B50" t="str">
            <v>40A Cooker Control Unit</v>
          </cell>
        </row>
        <row r="51">
          <cell r="B51" t="str">
            <v>Automatic Transfer Switch</v>
          </cell>
        </row>
        <row r="52">
          <cell r="B52" t="str">
            <v>Booster Switch</v>
          </cell>
        </row>
        <row r="53">
          <cell r="B53" t="str">
            <v>Cooker Connection Point</v>
          </cell>
        </row>
        <row r="54">
          <cell r="B54" t="str">
            <v>Data Outlet</v>
          </cell>
        </row>
        <row r="55">
          <cell r="B55" t="str">
            <v>Door Bell</v>
          </cell>
        </row>
        <row r="56">
          <cell r="B56" t="str">
            <v>Doorbell Push</v>
          </cell>
        </row>
        <row r="57">
          <cell r="B57" t="str">
            <v>Double Pole Switch</v>
          </cell>
        </row>
        <row r="58">
          <cell r="B58" t="str">
            <v>Heat Alarm</v>
          </cell>
        </row>
        <row r="59">
          <cell r="B59" t="str">
            <v>Heat Detector</v>
          </cell>
        </row>
        <row r="60">
          <cell r="B60" t="str">
            <v>Intermediate Switch</v>
          </cell>
        </row>
        <row r="61">
          <cell r="B61" t="str">
            <v>Ip65 Switch With Neon</v>
          </cell>
        </row>
        <row r="62">
          <cell r="B62" t="str">
            <v>Junction Box</v>
          </cell>
        </row>
        <row r="63">
          <cell r="B63" t="str">
            <v>Multi Sensor Smoke/Heat Detector</v>
          </cell>
        </row>
        <row r="64">
          <cell r="B64" t="str">
            <v>Override Switches For External Lighting</v>
          </cell>
        </row>
        <row r="65">
          <cell r="B65" t="str">
            <v>Power Supply To The X11 Led Lights</v>
          </cell>
        </row>
        <row r="66">
          <cell r="B66" t="str">
            <v>Patch Panel</v>
          </cell>
        </row>
        <row r="67">
          <cell r="B67" t="str">
            <v>Presence Detector</v>
          </cell>
        </row>
        <row r="68">
          <cell r="B68" t="str">
            <v>Shaver Socket</v>
          </cell>
        </row>
        <row r="69">
          <cell r="B69" t="str">
            <v>Single Switch Socket Outlet</v>
          </cell>
        </row>
        <row r="70">
          <cell r="B70" t="str">
            <v>Smoke Alarm</v>
          </cell>
        </row>
        <row r="71">
          <cell r="B71" t="str">
            <v>Smoke Detector</v>
          </cell>
        </row>
        <row r="72">
          <cell r="B72" t="str">
            <v>Smoke/Heat/Co Alarm Remote Control Switch</v>
          </cell>
        </row>
        <row r="73">
          <cell r="B73" t="str">
            <v>Switch Fused Connection Unit - EF</v>
          </cell>
        </row>
        <row r="74">
          <cell r="B74" t="str">
            <v>Switch Fused Connection Unit - Heat Interface Unit</v>
          </cell>
        </row>
        <row r="75">
          <cell r="B75" t="str">
            <v>Switch Fused Connection Unit - IA</v>
          </cell>
        </row>
        <row r="76">
          <cell r="B76" t="str">
            <v>Switch Fused Connection Unit - Washing Machine</v>
          </cell>
        </row>
        <row r="77">
          <cell r="B77" t="str">
            <v>Switch Fused Connection Unit - Dish Washer</v>
          </cell>
        </row>
        <row r="78">
          <cell r="B78" t="str">
            <v>Switch Fused Connection Unit - Fridge Freezer</v>
          </cell>
        </row>
        <row r="79">
          <cell r="B79" t="str">
            <v>Switch Fused Connection Unit- HRV</v>
          </cell>
        </row>
        <row r="80">
          <cell r="B80" t="str">
            <v>Switched Fused Connection Unit</v>
          </cell>
        </row>
        <row r="81">
          <cell r="B81" t="str">
            <v>Switched Fused Connection Unit - ETR</v>
          </cell>
        </row>
        <row r="82">
          <cell r="B82" t="str">
            <v>Telephone Outlet</v>
          </cell>
        </row>
        <row r="83">
          <cell r="B83" t="str">
            <v>TP&amp;N Distribution Board</v>
          </cell>
        </row>
        <row r="84">
          <cell r="B84" t="str">
            <v>TP&amp;N Isolator</v>
          </cell>
        </row>
        <row r="85">
          <cell r="B85" t="str">
            <v>TP&amp;N Isolator - 20A</v>
          </cell>
        </row>
        <row r="86">
          <cell r="B86" t="str">
            <v>TP&amp;N Isolator - 300A</v>
          </cell>
        </row>
        <row r="87">
          <cell r="B87" t="str">
            <v>TP&amp;N Isolator - 32A</v>
          </cell>
        </row>
        <row r="88">
          <cell r="B88" t="str">
            <v>TP&amp;N Isolator - 63A</v>
          </cell>
        </row>
        <row r="89">
          <cell r="B89" t="str">
            <v>TV Socket</v>
          </cell>
        </row>
        <row r="90">
          <cell r="B90" t="str">
            <v>Twin RJ45 Data Outlet</v>
          </cell>
        </row>
        <row r="91">
          <cell r="B91" t="str">
            <v>Twin Switched Socket Outlet</v>
          </cell>
        </row>
        <row r="92">
          <cell r="B92" t="str">
            <v>Unswitched Fused Connection Unit</v>
          </cell>
        </row>
        <row r="95">
          <cell r="B95" t="str">
            <v>CONTAINMENT</v>
          </cell>
        </row>
        <row r="96">
          <cell r="B96" t="str">
            <v>100mm x 25mm tray</v>
          </cell>
        </row>
        <row r="97">
          <cell r="B97" t="str">
            <v>100mm x 50mm tray</v>
          </cell>
        </row>
        <row r="98">
          <cell r="B98" t="str">
            <v>150mm x 150mm Trunking</v>
          </cell>
        </row>
        <row r="99">
          <cell r="B99" t="str">
            <v>150mm x 25mm tray</v>
          </cell>
        </row>
        <row r="100">
          <cell r="B100" t="str">
            <v>225mm x 25mm tray</v>
          </cell>
        </row>
        <row r="101">
          <cell r="B101" t="str">
            <v>300mm x 25mm tray</v>
          </cell>
        </row>
        <row r="102">
          <cell r="B102" t="str">
            <v>450mm x 25mm tray</v>
          </cell>
        </row>
        <row r="103">
          <cell r="B103" t="str">
            <v>50mm x 25mm tray</v>
          </cell>
        </row>
        <row r="104">
          <cell r="B104" t="str">
            <v>50mm x 25mm tray</v>
          </cell>
        </row>
        <row r="105">
          <cell r="B105" t="str">
            <v>75mm x 25mm tray</v>
          </cell>
        </row>
        <row r="106">
          <cell r="B106" t="str">
            <v>C Item 11</v>
          </cell>
        </row>
        <row r="107">
          <cell r="B107" t="str">
            <v>C Item 12</v>
          </cell>
        </row>
        <row r="108">
          <cell r="B108" t="str">
            <v>C Item 13</v>
          </cell>
        </row>
        <row r="109">
          <cell r="B109" t="str">
            <v>C Item 14</v>
          </cell>
        </row>
        <row r="112">
          <cell r="B112" t="str">
            <v>FIRE ALARM</v>
          </cell>
        </row>
        <row r="113">
          <cell r="B113" t="str">
            <v>Fire Alarm Interface Unit</v>
          </cell>
        </row>
        <row r="114">
          <cell r="B114" t="str">
            <v>Fire Alarm Sounder</v>
          </cell>
        </row>
        <row r="115">
          <cell r="B115" t="str">
            <v>Smoke detectors</v>
          </cell>
        </row>
        <row r="116">
          <cell r="B116" t="str">
            <v>Heat detectors</v>
          </cell>
        </row>
        <row r="117">
          <cell r="B117" t="str">
            <v>CO2 detectors</v>
          </cell>
        </row>
        <row r="118">
          <cell r="B118" t="str">
            <v>FA Item 4</v>
          </cell>
        </row>
        <row r="119">
          <cell r="B119" t="str">
            <v>FA Item 5</v>
          </cell>
        </row>
        <row r="120">
          <cell r="B120" t="str">
            <v>FA Item 6</v>
          </cell>
        </row>
        <row r="123">
          <cell r="B123" t="str">
            <v>DISTRIBUTION</v>
          </cell>
        </row>
        <row r="124">
          <cell r="B124" t="str">
            <v>D Item 1</v>
          </cell>
        </row>
        <row r="125">
          <cell r="B125" t="str">
            <v>D Item 2</v>
          </cell>
        </row>
        <row r="126">
          <cell r="B126" t="str">
            <v>D Item 3</v>
          </cell>
        </row>
        <row r="127">
          <cell r="B127" t="str">
            <v>D Item 4</v>
          </cell>
        </row>
        <row r="128">
          <cell r="B128" t="str">
            <v>D Item 5</v>
          </cell>
        </row>
        <row r="129">
          <cell r="B129" t="str">
            <v>D Item 6</v>
          </cell>
        </row>
        <row r="130">
          <cell r="B130" t="str">
            <v>D Item 7</v>
          </cell>
        </row>
        <row r="131">
          <cell r="B131" t="str">
            <v>D Item 8</v>
          </cell>
        </row>
        <row r="134">
          <cell r="B134" t="str">
            <v>MECHANICAL SUPPLIES</v>
          </cell>
        </row>
        <row r="135">
          <cell r="B135" t="str">
            <v>MS Item 1</v>
          </cell>
        </row>
        <row r="136">
          <cell r="B136" t="str">
            <v>MS Item 2</v>
          </cell>
        </row>
        <row r="137">
          <cell r="B137" t="str">
            <v>MS Item 3</v>
          </cell>
        </row>
        <row r="138">
          <cell r="B138" t="str">
            <v>MS Item 4</v>
          </cell>
        </row>
        <row r="139">
          <cell r="B139" t="str">
            <v>MS Item 5</v>
          </cell>
        </row>
        <row r="140">
          <cell r="B140" t="str">
            <v>MS Item 6</v>
          </cell>
        </row>
        <row r="141">
          <cell r="B141" t="str">
            <v>MS Item 7</v>
          </cell>
        </row>
        <row r="142">
          <cell r="B142" t="str">
            <v>MS Item 8</v>
          </cell>
        </row>
        <row r="145">
          <cell r="B145" t="str">
            <v>VENTILATION</v>
          </cell>
        </row>
        <row r="146">
          <cell r="B146" t="str">
            <v>V Item 1</v>
          </cell>
        </row>
        <row r="147">
          <cell r="B147" t="str">
            <v>V Item 2</v>
          </cell>
        </row>
        <row r="148">
          <cell r="B148" t="str">
            <v>V Item 3</v>
          </cell>
        </row>
        <row r="149">
          <cell r="B149" t="str">
            <v>V Item 4</v>
          </cell>
        </row>
        <row r="150">
          <cell r="B150" t="str">
            <v>V Item 5</v>
          </cell>
        </row>
        <row r="151">
          <cell r="B151" t="str">
            <v>V Item 6</v>
          </cell>
        </row>
        <row r="152">
          <cell r="B152" t="str">
            <v>V Item 7</v>
          </cell>
        </row>
        <row r="153">
          <cell r="B153" t="str">
            <v>V Item 8</v>
          </cell>
        </row>
        <row r="156">
          <cell r="B156" t="str">
            <v>ACCESS CONTROL &amp; SECURITY</v>
          </cell>
        </row>
        <row r="157">
          <cell r="B157" t="str">
            <v>AC Item 1</v>
          </cell>
        </row>
        <row r="158">
          <cell r="B158" t="str">
            <v>AC Item 2</v>
          </cell>
        </row>
        <row r="159">
          <cell r="B159" t="str">
            <v>AC Item 3</v>
          </cell>
        </row>
        <row r="160">
          <cell r="B160" t="str">
            <v>AC Item 4</v>
          </cell>
        </row>
        <row r="161">
          <cell r="B161" t="str">
            <v>AC Item 5</v>
          </cell>
        </row>
        <row r="162">
          <cell r="B162" t="str">
            <v>AC Item 6</v>
          </cell>
        </row>
        <row r="163">
          <cell r="B163" t="str">
            <v>AC Item 7</v>
          </cell>
        </row>
        <row r="164">
          <cell r="B164" t="str">
            <v>AC Item 8</v>
          </cell>
        </row>
        <row r="167">
          <cell r="B167" t="str">
            <v>AUDIO VISUAL / TV / SATELITE</v>
          </cell>
        </row>
        <row r="168">
          <cell r="B168" t="str">
            <v>AV ITEM 1</v>
          </cell>
        </row>
        <row r="169">
          <cell r="B169" t="str">
            <v>AV ITEM 2</v>
          </cell>
        </row>
        <row r="170">
          <cell r="B170" t="str">
            <v>AV ITEM 3</v>
          </cell>
        </row>
        <row r="171">
          <cell r="B171" t="str">
            <v>AV ITEM 4</v>
          </cell>
        </row>
        <row r="172">
          <cell r="B172" t="str">
            <v>AV ITEM 5</v>
          </cell>
        </row>
        <row r="173">
          <cell r="B173" t="str">
            <v>AV ITEM 6</v>
          </cell>
        </row>
        <row r="174">
          <cell r="B174" t="str">
            <v>AV ITEM 7</v>
          </cell>
        </row>
        <row r="175">
          <cell r="B175" t="str">
            <v>AV ITEM 8</v>
          </cell>
        </row>
        <row r="178">
          <cell r="B178" t="str">
            <v>HEATING INTERFACE / CONTROLS</v>
          </cell>
        </row>
        <row r="179">
          <cell r="B179" t="str">
            <v>HI Item 1</v>
          </cell>
        </row>
        <row r="180">
          <cell r="B180" t="str">
            <v>HI Item 2</v>
          </cell>
        </row>
        <row r="181">
          <cell r="B181" t="str">
            <v>HI Item 3</v>
          </cell>
        </row>
        <row r="182">
          <cell r="B182" t="str">
            <v>HI Item 4</v>
          </cell>
        </row>
        <row r="183">
          <cell r="B183" t="str">
            <v>HI Item 5</v>
          </cell>
        </row>
        <row r="184">
          <cell r="B184" t="str">
            <v>HI Item 6</v>
          </cell>
        </row>
        <row r="185">
          <cell r="B185" t="str">
            <v>HI Item 7</v>
          </cell>
        </row>
        <row r="186">
          <cell r="B186" t="str">
            <v>HI Item 8</v>
          </cell>
        </row>
        <row r="189">
          <cell r="B189" t="str">
            <v>MISCELLANEOUS</v>
          </cell>
        </row>
        <row r="190">
          <cell r="B190" t="str">
            <v>Door Entry Handset</v>
          </cell>
        </row>
        <row r="191">
          <cell r="B191" t="str">
            <v>Electric Meter</v>
          </cell>
        </row>
        <row r="192">
          <cell r="B192" t="str">
            <v>Electric Towel Rail</v>
          </cell>
        </row>
        <row r="193">
          <cell r="B193" t="str">
            <v>Flex Connection Outlet</v>
          </cell>
        </row>
        <row r="194">
          <cell r="B194" t="str">
            <v>Ryefield Board</v>
          </cell>
        </row>
        <row r="195">
          <cell r="B195" t="str">
            <v>SP&amp;N Distribution Board</v>
          </cell>
        </row>
        <row r="196">
          <cell r="B196" t="str">
            <v>SP&amp;N Isolator</v>
          </cell>
        </row>
        <row r="197">
          <cell r="B197" t="str">
            <v>Earthing &amp; bonding</v>
          </cell>
        </row>
        <row r="198">
          <cell r="B198" t="str">
            <v>Surge protection</v>
          </cell>
        </row>
        <row r="199">
          <cell r="B199" t="str">
            <v>M Item 3</v>
          </cell>
        </row>
        <row r="200">
          <cell r="B200" t="str">
            <v>M Item 4</v>
          </cell>
        </row>
        <row r="201">
          <cell r="B201" t="str">
            <v>M Item 5</v>
          </cell>
        </row>
        <row r="202">
          <cell r="B202" t="str">
            <v>M Item 6</v>
          </cell>
        </row>
        <row r="203">
          <cell r="B203" t="str">
            <v>M Item 7</v>
          </cell>
        </row>
        <row r="204">
          <cell r="B204" t="str">
            <v>M Item 8</v>
          </cell>
        </row>
        <row r="207">
          <cell r="B207" t="str">
            <v>PRELIMS</v>
          </cell>
        </row>
        <row r="208">
          <cell r="B208" t="str">
            <v xml:space="preserve">O&amp;M's </v>
          </cell>
        </row>
        <row r="209">
          <cell r="B209" t="str">
            <v xml:space="preserve">Testing and Commissioning </v>
          </cell>
        </row>
        <row r="210">
          <cell r="B210" t="str">
            <v>Storage of tools and materials</v>
          </cell>
        </row>
        <row r="211">
          <cell r="B211" t="str">
            <v>Project Management</v>
          </cell>
        </row>
        <row r="212">
          <cell r="B212" t="str">
            <v>Access Towers</v>
          </cell>
        </row>
        <row r="213">
          <cell r="B213" t="str">
            <v>P Item 2</v>
          </cell>
        </row>
        <row r="214">
          <cell r="B214" t="str">
            <v>P Item 3</v>
          </cell>
        </row>
        <row r="217">
          <cell r="B217" t="str">
            <v>SITE TEMPORARIES</v>
          </cell>
        </row>
        <row r="218">
          <cell r="B218" t="str">
            <v>ST Item 1</v>
          </cell>
        </row>
        <row r="219">
          <cell r="B219" t="str">
            <v>ST Item 2</v>
          </cell>
        </row>
        <row r="220">
          <cell r="B220" t="str">
            <v>ST Item 3</v>
          </cell>
        </row>
        <row r="221">
          <cell r="B221" t="str">
            <v>ST Item 4</v>
          </cell>
        </row>
        <row r="222">
          <cell r="B222" t="str">
            <v>ST Item 5</v>
          </cell>
        </row>
        <row r="223">
          <cell r="B223" t="str">
            <v>ST Item 6</v>
          </cell>
        </row>
        <row r="224">
          <cell r="B224" t="str">
            <v>ST Item 7</v>
          </cell>
        </row>
        <row r="225">
          <cell r="B225" t="str">
            <v>ST Item 8</v>
          </cell>
        </row>
        <row r="228">
          <cell r="B228" t="str">
            <v>END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ing"/>
      <sheetName val="Breakdown"/>
      <sheetName val="Proc Sheet"/>
      <sheetName val="Containment"/>
      <sheetName val="Containment List"/>
      <sheetName val="Lighting"/>
      <sheetName val="Lighting List"/>
      <sheetName val="Sockets"/>
      <sheetName val="Sockets List"/>
      <sheetName val="Switches"/>
      <sheetName val="Switches List"/>
      <sheetName val="Consumer_Unit"/>
      <sheetName val="Consumer Unit List"/>
      <sheetName val="Misc"/>
      <sheetName val="Misc List"/>
      <sheetName val="Other"/>
      <sheetName val="Other List"/>
      <sheetName val="Type List"/>
    </sheetNames>
    <sheetDataSet>
      <sheetData sheetId="0" refreshError="1"/>
      <sheetData sheetId="1">
        <row r="10">
          <cell r="E10">
            <v>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Containment</v>
          </cell>
        </row>
        <row r="3">
          <cell r="A3" t="str">
            <v>Lighting</v>
          </cell>
        </row>
        <row r="4">
          <cell r="A4" t="str">
            <v>Sockets</v>
          </cell>
        </row>
        <row r="5">
          <cell r="A5" t="str">
            <v>Switches</v>
          </cell>
        </row>
        <row r="6">
          <cell r="A6" t="str">
            <v>Consumer Unit</v>
          </cell>
        </row>
        <row r="7">
          <cell r="A7" t="str">
            <v>Misc</v>
          </cell>
        </row>
        <row r="8">
          <cell r="A8" t="str">
            <v>Other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V105"/>
  <sheetViews>
    <sheetView tabSelected="1" topLeftCell="A2" zoomScale="71" zoomScaleNormal="85" workbookViewId="0">
      <selection activeCell="C9" sqref="C9:D9"/>
    </sheetView>
  </sheetViews>
  <sheetFormatPr baseColWidth="8" defaultColWidth="8.88671875" defaultRowHeight="14.4"/>
  <cols>
    <col width="4.6640625" customWidth="1" min="1" max="1"/>
    <col width="13.6640625" customWidth="1" min="2" max="2"/>
    <col width="9.6640625" customWidth="1" style="1" min="3" max="3"/>
    <col width="30.88671875" customWidth="1" style="2" min="4" max="4"/>
    <col width="23.5546875" customWidth="1" style="2" min="5" max="5"/>
    <col width="10.88671875" customWidth="1" style="2" min="6" max="6"/>
    <col width="6.5546875" customWidth="1" style="2" min="7" max="7"/>
    <col width="10.88671875" customWidth="1" style="2" min="8" max="8"/>
    <col width="17.6640625" customWidth="1" style="1" min="9" max="9"/>
    <col width="38" bestFit="1" customWidth="1" min="10" max="10"/>
    <col width="26.88671875" customWidth="1" min="11" max="11"/>
    <col width="26.109375" customWidth="1" min="12" max="12"/>
    <col width="15.88671875" customWidth="1" min="13" max="13"/>
    <col width="17.88671875" customWidth="1" min="14" max="14"/>
    <col width="13.6640625" customWidth="1" min="15" max="15"/>
  </cols>
  <sheetData>
    <row r="1" ht="15" customHeight="1" thickBot="1"/>
    <row r="2" ht="118.5" customFormat="1" customHeight="1" s="2">
      <c r="C2" s="26" t="n"/>
      <c r="D2" s="27" t="n"/>
      <c r="E2" s="27" t="n"/>
      <c r="F2" s="28" t="n"/>
      <c r="G2" s="28" t="n"/>
      <c r="H2" s="28" t="n"/>
      <c r="I2" s="29" t="n"/>
      <c r="J2" s="20" t="n"/>
      <c r="K2" s="20" t="n"/>
      <c r="L2" s="20" t="n"/>
      <c r="M2" s="20" t="n"/>
      <c r="N2" s="20" t="n"/>
      <c r="O2" s="20" t="n"/>
      <c r="P2" s="20" t="n"/>
      <c r="Q2" s="20" t="n"/>
    </row>
    <row r="3" ht="15.6" customHeight="1">
      <c r="C3" s="6" t="inlineStr">
        <is>
          <t>Client:</t>
        </is>
      </c>
      <c r="D3" s="7" t="inlineStr">
        <is>
          <t>Pearce Construction (South West) Ltd</t>
        </is>
      </c>
      <c r="E3" s="7" t="n"/>
      <c r="F3" s="7" t="n"/>
      <c r="G3" s="7" t="n"/>
      <c r="H3" s="7" t="n"/>
      <c r="I3" s="8" t="n"/>
      <c r="J3" s="21" t="n"/>
      <c r="K3" s="20" t="inlineStr">
        <is>
          <t>Supplier used:</t>
        </is>
      </c>
      <c r="L3" s="20" t="inlineStr">
        <is>
          <t>No supplier quote - Fenster benchmark rates</t>
        </is>
      </c>
      <c r="M3" s="80" t="n"/>
      <c r="N3" s="21" t="n"/>
      <c r="O3" s="21" t="n"/>
      <c r="P3" s="21" t="n"/>
      <c r="Q3" s="21" t="n"/>
    </row>
    <row r="4" ht="15.6" customHeight="1">
      <c r="C4" s="9" t="inlineStr">
        <is>
          <t xml:space="preserve">Project Reference: </t>
        </is>
      </c>
      <c r="D4" s="10" t="inlineStr">
        <is>
          <t>Greenfields Respite, Barnstaple - Windows, Doors &amp; Screens</t>
        </is>
      </c>
      <c r="E4" s="10" t="n"/>
      <c r="F4" s="10" t="n"/>
      <c r="G4" s="10" t="n"/>
      <c r="H4" s="10" t="n"/>
      <c r="I4" s="11" t="n"/>
      <c r="J4" s="22" t="n"/>
      <c r="K4" s="21" t="n"/>
      <c r="L4" s="21" t="n"/>
      <c r="M4" s="21" t="n"/>
      <c r="N4" s="21" t="n"/>
      <c r="O4" s="21" t="n"/>
      <c r="P4" s="21" t="n"/>
      <c r="Q4" s="21" t="n"/>
    </row>
    <row r="5" ht="15.6" customHeight="1">
      <c r="C5" s="9" t="inlineStr">
        <is>
          <t>Site Address:</t>
        </is>
      </c>
      <c r="D5" s="10" t="inlineStr">
        <is>
          <t>Greenfields Respite Centre, Barnstaple, Devon</t>
        </is>
      </c>
      <c r="E5" s="10" t="n"/>
      <c r="F5" s="10" t="n"/>
      <c r="G5" s="10" t="n"/>
      <c r="H5" s="10" t="inlineStr">
        <is>
          <t>Benchmark pricing from Fenster historical supplier rate register; subject to technical survey</t>
        </is>
      </c>
      <c r="I5" s="11" t="n"/>
      <c r="J5" s="21" t="n"/>
      <c r="K5" s="21" t="n"/>
      <c r="L5" s="21" t="n"/>
      <c r="M5" s="21" t="n"/>
      <c r="N5" s="21" t="n"/>
      <c r="O5" s="21" t="n"/>
      <c r="P5" s="21" t="n"/>
      <c r="Q5" s="21" t="n"/>
    </row>
    <row r="6" ht="16.2" customHeight="1" thickBot="1">
      <c r="C6" s="9" t="inlineStr">
        <is>
          <t>Date:</t>
        </is>
      </c>
      <c r="D6" s="12" t="inlineStr">
        <is>
          <t>17/07/2026</t>
        </is>
      </c>
      <c r="E6" s="10" t="n"/>
      <c r="F6" s="10" t="n"/>
      <c r="G6" s="10" t="n"/>
      <c r="H6" s="10" t="n"/>
      <c r="I6" s="11" t="n"/>
      <c r="J6" s="21" t="n"/>
      <c r="K6" s="21" t="n"/>
      <c r="L6" s="21" t="n"/>
      <c r="M6" s="21" t="n"/>
      <c r="N6" s="21" t="n"/>
      <c r="O6" s="21" t="n"/>
      <c r="P6" s="4" t="n"/>
      <c r="Q6" s="4" t="n"/>
      <c r="R6" s="3" t="n"/>
      <c r="S6" s="3" t="n"/>
      <c r="T6" s="3" t="n"/>
      <c r="U6" s="3" t="n"/>
      <c r="V6" s="3" t="n"/>
    </row>
    <row r="7" ht="15" customFormat="1" customHeight="1" s="3" thickBot="1">
      <c r="C7" s="81" t="inlineStr">
        <is>
          <t>Description</t>
        </is>
      </c>
      <c r="D7" s="82" t="n"/>
      <c r="E7" s="83" t="inlineStr">
        <is>
          <t xml:space="preserve">Size </t>
        </is>
      </c>
      <c r="F7" s="83" t="inlineStr">
        <is>
          <t>Qty</t>
        </is>
      </c>
      <c r="G7" s="83" t="inlineStr">
        <is>
          <t>Unit</t>
        </is>
      </c>
      <c r="H7" s="83" t="inlineStr">
        <is>
          <t>Unit Rate</t>
        </is>
      </c>
      <c r="I7" s="35" t="inlineStr">
        <is>
          <t>Total</t>
        </is>
      </c>
      <c r="J7" s="4" t="n"/>
      <c r="K7" s="4" t="n"/>
      <c r="L7" s="4" t="n"/>
      <c r="M7" s="4" t="n"/>
      <c r="N7" s="4" t="n"/>
      <c r="O7" s="4" t="n"/>
      <c r="P7" s="4" t="n"/>
      <c r="Q7" s="4" t="n"/>
    </row>
    <row r="8" ht="27.75" customFormat="1" customHeight="1" s="3">
      <c r="B8" s="62" t="inlineStr">
        <is>
          <t>PRODUCT CODES</t>
        </is>
      </c>
      <c r="C8" s="84" t="inlineStr">
        <is>
          <t>SMA Smart Wall</t>
        </is>
      </c>
      <c r="D8" s="85" t="n"/>
      <c r="E8" s="13" t="n"/>
      <c r="F8" s="86" t="n"/>
      <c r="G8" s="87" t="n"/>
      <c r="H8" s="87" t="n"/>
      <c r="I8" s="88" t="n"/>
      <c r="J8" s="4" t="inlineStr">
        <is>
          <t>Frames</t>
        </is>
      </c>
      <c r="K8" s="4" t="inlineStr">
        <is>
          <t xml:space="preserve">Glass </t>
        </is>
      </c>
      <c r="L8" s="4" t="inlineStr">
        <is>
          <t xml:space="preserve">Additional </t>
        </is>
      </c>
      <c r="M8" s="4" t="inlineStr">
        <is>
          <t>CW</t>
        </is>
      </c>
      <c r="N8" s="4" t="inlineStr">
        <is>
          <t>CW LABOUR</t>
        </is>
      </c>
      <c r="O8" s="21" t="inlineStr">
        <is>
          <t>CW SQM</t>
        </is>
      </c>
      <c r="P8" s="4" t="n"/>
      <c r="Q8" s="4" t="n"/>
    </row>
    <row r="9" customFormat="1" s="3">
      <c r="B9" s="4" t="inlineStr">
        <is>
          <t>ELAW</t>
        </is>
      </c>
      <c r="C9" s="89" t="inlineStr">
        <is>
          <t>WG-01 - Alu screen 2709x5100 - Stair screen; 3nr NSHEV AOV top vents linked to fire alarm; 900mm render panel zone below</t>
        </is>
      </c>
      <c r="D9" s="90" t="n"/>
      <c r="E9" s="54" t="inlineStr">
        <is>
          <t>2709 x 5100</t>
        </is>
      </c>
      <c r="F9" s="91" t="n">
        <v>1</v>
      </c>
      <c r="G9" s="92" t="inlineStr">
        <is>
          <t>nr</t>
        </is>
      </c>
      <c r="H9" s="86">
        <f>IF(B9="CW",
M9,
J9+K9+L9+
IF(B9="SUPD",1000*75%,
IF(B9="DUPD",1500*75%,
IF(B9="SAD",1200*75%,
IF(B9="DAD",2000*75%,
IF(B9="ELAW",850*75%,
IF(B9="LAW",650*75%,
IF(B9="MAW",550*75%,
IF(B9="SAW",450*75%,
IF(B9="LPVC",450*75%,
IF(B9="MPVC",400*75%,
IF(B9="SPVC",350*75%,
IF(B9="SADLAW",2000*75%,
IF(B9="SADMAW",1900*75%,
IF(B9="SADSAW",1700*75%,0)))))))))))))))</f>
        <v/>
      </c>
      <c r="I9" s="88">
        <f>SUM(H9*F9)</f>
        <v/>
      </c>
      <c r="J9" s="93" t="n">
        <v>8312.9</v>
      </c>
      <c r="K9" s="4" t="n"/>
      <c r="L9" s="4" t="n"/>
      <c r="M9" s="4">
        <f>IF(B9="CW",SUM(O9*850),0)</f>
        <v/>
      </c>
      <c r="N9" s="4">
        <f>IF(B9="CW",SUM(O9*150),0)</f>
        <v/>
      </c>
      <c r="O9" s="21">
        <f>(TRIM(LEFT(E9,FIND("x",E9)-1)) * TRIM(MID(E9,FIND("x",E9)+1,LEN(E9)))) / 1000000</f>
        <v/>
      </c>
      <c r="P9" s="4">
        <f t="array" ref="P9">SUM(F9*J9:K9)</f>
        <v/>
      </c>
      <c r="Q9" s="4" t="n"/>
    </row>
    <row r="10" customFormat="1" s="3">
      <c r="B10" s="4" t="inlineStr">
        <is>
          <t>ELAW</t>
        </is>
      </c>
      <c r="C10" s="94" t="inlineStr">
        <is>
          <t>WG-33* - Alu screen 1689x4590 - Stair screen; 2nr NSHEV AOV top vents linked to fire alarm (ref label unclear on 005 - R</t>
        </is>
      </c>
      <c r="D10" s="90" t="n"/>
      <c r="E10" s="54" t="inlineStr">
        <is>
          <t>1689 x 4590</t>
        </is>
      </c>
      <c r="F10" s="91" t="n">
        <v>1</v>
      </c>
      <c r="G10" s="92" t="inlineStr">
        <is>
          <t>nr</t>
        </is>
      </c>
      <c r="H10" s="86">
        <f>IF(B10="CW",
M10,
J10+K10+L10+
IF(B10="SUPD",1000*75%,
IF(B10="DUPD",1500*75%,
IF(B10="SAD",1200*75%,
IF(B10="DAD",2000*75%,
IF(B10="ELAW",850*75%,
IF(B10="LAW",650*75%,
IF(B10="MAW",550*75%,
IF(B10="SAW",450*75%,
IF(B10="LPVC",450*75%,
IF(B10="MPVC",400*75%,
IF(B10="SPVC",350*75%,
IF(B10="SADLAW",2000*75%,
IF(B10="SADMAW",1900*75%,
IF(B10="SADSAW",1700*75%,0)))))))))))))))</f>
        <v/>
      </c>
      <c r="I10" s="88">
        <f>SUM(H10*F10)</f>
        <v/>
      </c>
      <c r="J10" s="93" t="n">
        <v>4996.11</v>
      </c>
      <c r="K10" s="4" t="n"/>
      <c r="L10" s="4" t="n"/>
      <c r="M10" s="4">
        <f>IF(B10="CW",SUM(O10*850),0)</f>
        <v/>
      </c>
      <c r="N10" s="4">
        <f>IF(B10="CW",SUM(O10*150),0)</f>
        <v/>
      </c>
      <c r="O10" s="21">
        <f>(TRIM(LEFT(E10,FIND("x",E10)-1)) * TRIM(MID(E10,FIND("x",E10)+1,LEN(E10)))) / 1000000</f>
        <v/>
      </c>
      <c r="P10" s="4">
        <f t="array" ref="P10">SUM(F10*J10:K10)</f>
        <v/>
      </c>
      <c r="Q10" s="4" t="n"/>
    </row>
    <row r="11" customFormat="1" s="3">
      <c r="B11" s="4" t="inlineStr">
        <is>
          <t>ELAW</t>
        </is>
      </c>
      <c r="C11" s="94" t="inlineStr">
        <is>
          <t>WG-31 - Alu screen 1447x2410 - Fanlight + fixed + lower panel; part of 4840 entrance screen with DG-11</t>
        </is>
      </c>
      <c r="D11" s="90" t="n"/>
      <c r="E11" s="54" t="inlineStr">
        <is>
          <t>1447 x 2410</t>
        </is>
      </c>
      <c r="F11" s="91" t="n">
        <v>1</v>
      </c>
      <c r="G11" s="92" t="inlineStr">
        <is>
          <t>nr</t>
        </is>
      </c>
      <c r="H11" s="86">
        <f>IF(B11="CW",
M11,
J11+K11+L11+
IF(B11="SUPD",1000*75%,
IF(B11="DUPD",1500*75%,
IF(B11="SAD",1200*75%,
IF(B11="DAD",2000*75%,
IF(B11="ELAW",850*75%,
IF(B11="LAW",650*75%,
IF(B11="MAW",550*75%,
IF(B11="SAW",450*75%,
IF(B11="LPVC",450*75%,
IF(B11="MPVC",400*75%,
IF(B11="SPVC",350*75%,
IF(B11="SADLAW",2000*75%,
IF(B11="SADMAW",1900*75%,
IF(B11="SADSAW",1700*75%,0)))))))))))))))</f>
        <v/>
      </c>
      <c r="I11" s="88">
        <f>SUM(H11*F11)</f>
        <v/>
      </c>
      <c r="J11" s="93" t="n">
        <v>1804.18</v>
      </c>
      <c r="K11" s="4" t="n"/>
      <c r="L11" s="4" t="n"/>
      <c r="M11" s="4">
        <f>IF(B11="CW",SUM(O11*850),0)</f>
        <v/>
      </c>
      <c r="N11" s="4">
        <f>IF(B11="CW",SUM(O11*150),0)</f>
        <v/>
      </c>
      <c r="O11" s="21">
        <f>(TRIM(LEFT(E11,FIND("x",E11)-1)) * TRIM(MID(E11,FIND("x",E11)+1,LEN(E11)))) / 1000000</f>
        <v/>
      </c>
      <c r="P11" s="4">
        <f t="array" ref="P11">SUM(F11*J11:K11)</f>
        <v/>
      </c>
      <c r="Q11" s="4" t="n"/>
    </row>
    <row r="12" customFormat="1" s="3">
      <c r="B12" s="4" t="inlineStr">
        <is>
          <t>ELAW</t>
        </is>
      </c>
      <c r="C12" s="94" t="inlineStr">
        <is>
          <t>WG-32 - Alu screen 1447x2410 - Fanlight + fixed + lower panel; part of 4840 entrance screen with DG-11</t>
        </is>
      </c>
      <c r="D12" s="90" t="n"/>
      <c r="E12" s="54" t="inlineStr">
        <is>
          <t>1447 x 2410</t>
        </is>
      </c>
      <c r="F12" s="91" t="n">
        <v>1</v>
      </c>
      <c r="G12" s="92" t="inlineStr">
        <is>
          <t>nr</t>
        </is>
      </c>
      <c r="H12" s="86">
        <f>IF(B12="CW",
M12,
J12+K12+L12+
IF(B12="SUPD",1000*75%,
IF(B12="DUPD",1500*75%,
IF(B12="SAD",1200*75%,
IF(B12="DAD",2000*75%,
IF(B12="ELAW",850*75%,
IF(B12="LAW",650*75%,
IF(B12="MAW",550*75%,
IF(B12="SAW",450*75%,
IF(B12="LPVC",450*75%,
IF(B12="MPVC",400*75%,
IF(B12="SPVC",350*75%,
IF(B12="SADLAW",2000*75%,
IF(B12="SADMAW",1900*75%,
IF(B12="SADSAW",1700*75%,0)))))))))))))))</f>
        <v/>
      </c>
      <c r="I12" s="88">
        <f>SUM(H12*F12)</f>
        <v/>
      </c>
      <c r="J12" s="93" t="n">
        <v>1804.18</v>
      </c>
      <c r="K12" s="4" t="n"/>
      <c r="L12" s="4" t="n"/>
      <c r="M12" s="4">
        <f>IF(B12="CW",SUM(O12*850),0)</f>
        <v/>
      </c>
      <c r="N12" s="4">
        <f>IF(B12="CW",SUM(O12*150),0)</f>
        <v/>
      </c>
      <c r="O12" s="21">
        <f>(TRIM(LEFT(E12,FIND("x",E12)-1)) * TRIM(MID(E12,FIND("x",E12)+1,LEN(E12)))) / 1000000</f>
        <v/>
      </c>
      <c r="P12" s="4">
        <f t="array" ref="P12">SUM(F12*J12:K12)</f>
        <v/>
      </c>
      <c r="Q12" s="4" t="n"/>
    </row>
    <row r="13" ht="30" customFormat="1" customHeight="1" s="3">
      <c r="B13" s="4" t="inlineStr">
        <is>
          <t>MPVC</t>
        </is>
      </c>
      <c r="C13" s="95" t="inlineStr">
        <is>
          <t>WG-02 - uPVC win 2372x1140 - Top-hung fanlight over fixed; obscure glazed</t>
        </is>
      </c>
      <c r="D13" s="90" t="n"/>
      <c r="E13" s="54" t="inlineStr">
        <is>
          <t>2372 x 1140</t>
        </is>
      </c>
      <c r="F13" s="91" t="n">
        <v>1</v>
      </c>
      <c r="G13" s="92" t="inlineStr">
        <is>
          <t>nr</t>
        </is>
      </c>
      <c r="H13" s="86">
        <f>IF(B13="CW",
M13,
J13+K13+L13+
IF(B13="SUPD",1000*75%,
IF(B13="DUPD",1500*75%,
IF(B13="SAD",1200*75%,
IF(B13="DAD",2000*75%,
IF(B13="ELAW",850*75%,
IF(B13="LAW",650*75%,
IF(B13="MAW",550*75%,
IF(B13="SAW",450*75%,
IF(B13="LPVC",450*75%,
IF(B13="MPVC",400*75%,
IF(B13="SPVC",350*75%,
IF(B13="SADLAW",2000*75%,
IF(B13="SADMAW",1900*75%,
IF(B13="SADSAW",1700*75%,0)))))))))))))))</f>
        <v/>
      </c>
      <c r="I13" s="88">
        <f>SUM(H13*F13)</f>
        <v/>
      </c>
      <c r="J13" s="93" t="n">
        <v>641.3200000000001</v>
      </c>
      <c r="K13" s="4" t="n"/>
      <c r="L13" s="4" t="n"/>
      <c r="M13" s="4">
        <f>IF(B13="CW",SUM(O13*850),0)</f>
        <v/>
      </c>
      <c r="N13" s="4">
        <f>IF(B13="CW",SUM(O13*150),0)</f>
        <v/>
      </c>
      <c r="O13" s="21">
        <f>(TRIM(LEFT(E13,FIND("x",E13)-1)) * TRIM(MID(E13,FIND("x",E13)+1,LEN(E13)))) / 1000000</f>
        <v/>
      </c>
      <c r="P13" s="4">
        <f t="array" ref="P13">SUM(F13*J13:K13)</f>
        <v/>
      </c>
      <c r="Q13" s="4" t="n"/>
    </row>
    <row r="14" ht="36" customFormat="1" customHeight="1" s="3">
      <c r="B14" s="4" t="inlineStr">
        <is>
          <t>MPVC</t>
        </is>
      </c>
      <c r="C14" s="95" t="inlineStr">
        <is>
          <t>WG-03 - uPVC win 2372x1140 - Top-hung fanlight over fixed; obscure glazed</t>
        </is>
      </c>
      <c r="D14" s="90" t="n"/>
      <c r="E14" s="54" t="inlineStr">
        <is>
          <t>2372 x 1140</t>
        </is>
      </c>
      <c r="F14" s="96" t="n">
        <v>1</v>
      </c>
      <c r="G14" s="92" t="inlineStr">
        <is>
          <t>nr</t>
        </is>
      </c>
      <c r="H14" s="86">
        <f>IF(B14="CW",
M14,
J14+K14+L14+
IF(B14="SUPD",1000*75%,
IF(B14="DUPD",1500*75%,
IF(B14="SAD",1200*75%,
IF(B14="DAD",2000*75%,
IF(B14="ELAW",850*75%,
IF(B14="LAW",650*75%,
IF(B14="MAW",550*75%,
IF(B14="SAW",450*75%,
IF(B14="LPVC",450*75%,
IF(B14="MPVC",400*75%,
IF(B14="SPVC",350*75%,
IF(B14="SADLAW",2000*75%,
IF(B14="SADMAW",1900*75%,
IF(B14="SADSAW",1700*75%,0)))))))))))))))</f>
        <v/>
      </c>
      <c r="I14" s="88">
        <f>SUM(H14*F14)</f>
        <v/>
      </c>
      <c r="J14" s="93" t="n">
        <v>641.3200000000001</v>
      </c>
      <c r="K14" s="4" t="n"/>
      <c r="L14" s="4" t="n"/>
      <c r="M14" s="4">
        <f>IF(B14="CW",SUM(O14*850),0)</f>
        <v/>
      </c>
      <c r="N14" s="4">
        <f>IF(B14="CW",SUM(O14*150),0)</f>
        <v/>
      </c>
      <c r="O14" s="21">
        <f>(TRIM(LEFT(E14,FIND("x",E14)-1)) * TRIM(MID(E14,FIND("x",E14)+1,LEN(E14)))) / 1000000</f>
        <v/>
      </c>
      <c r="P14" s="4">
        <f t="array" ref="P14">SUM(F14*J14:K14)</f>
        <v/>
      </c>
      <c r="Q14" s="4" t="n"/>
    </row>
    <row r="15" customFormat="1" s="3">
      <c r="B15" s="4" t="inlineStr">
        <is>
          <t>MPVC</t>
        </is>
      </c>
      <c r="C15" s="97" t="inlineStr">
        <is>
          <t>WG-04 - uPVC win 2378x1140 - Top-hung fanlight over fixed; obscure glazed</t>
        </is>
      </c>
      <c r="D15" s="90" t="n"/>
      <c r="E15" s="54" t="inlineStr">
        <is>
          <t>2378 x 1140</t>
        </is>
      </c>
      <c r="F15" s="96" t="n">
        <v>1</v>
      </c>
      <c r="G15" s="92" t="inlineStr">
        <is>
          <t>nr</t>
        </is>
      </c>
      <c r="H15" s="86">
        <f>IF(B15="CW",
M15,
J15+K15+L15+
IF(B15="SUPD",1000*75%,
IF(B15="DUPD",1500*75%,
IF(B15="SAD",1200*75%,
IF(B15="DAD",2000*75%,
IF(B15="ELAW",850*75%,
IF(B15="LAW",650*75%,
IF(B15="MAW",550*75%,
IF(B15="SAW",450*75%,
IF(B15="LPVC",450*75%,
IF(B15="MPVC",400*75%,
IF(B15="SPVC",350*75%,
IF(B15="SADLAW",2000*75%,
IF(B15="SADMAW",1900*75%,
IF(B15="SADSAW",1700*75%,0)))))))))))))))</f>
        <v/>
      </c>
      <c r="I15" s="88">
        <f>SUM(H15*F15)</f>
        <v/>
      </c>
      <c r="J15" s="93" t="n">
        <v>642.76</v>
      </c>
      <c r="K15" s="4" t="n"/>
      <c r="L15" s="4" t="n"/>
      <c r="M15" s="4">
        <f>IF(B15="CW",SUM(O15*850),0)</f>
        <v/>
      </c>
      <c r="N15" s="4">
        <f>IF(B15="CW",SUM(O15*150),0)</f>
        <v/>
      </c>
      <c r="O15" s="21">
        <f>(TRIM(LEFT(E15,FIND("x",E15)-1)) * TRIM(MID(E15,FIND("x",E15)+1,LEN(E15)))) / 1000000</f>
        <v/>
      </c>
      <c r="P15" s="4">
        <f t="array" ref="P15">SUM(F15*J15:K15)</f>
        <v/>
      </c>
      <c r="Q15" s="4" t="n"/>
    </row>
    <row r="16" customFormat="1" s="3">
      <c r="B16" s="4" t="inlineStr">
        <is>
          <t>MPVC</t>
        </is>
      </c>
      <c r="C16" s="95" t="inlineStr">
        <is>
          <t>WG-05 - uPVC win 2378x1140 - Top-hung fanlight over fixed; obscure glazed</t>
        </is>
      </c>
      <c r="D16" s="90" t="n"/>
      <c r="E16" s="54" t="inlineStr">
        <is>
          <t>2378 x 1140</t>
        </is>
      </c>
      <c r="F16" s="96" t="n">
        <v>1</v>
      </c>
      <c r="G16" s="92" t="inlineStr">
        <is>
          <t>nr</t>
        </is>
      </c>
      <c r="H16" s="86">
        <f>IF(B16="CW",
M16,
J16+K16+L16+
IF(B16="SUPD",1000*75%,
IF(B16="DUPD",1500*75%,
IF(B16="SAD",1200*75%,
IF(B16="DAD",2000*75%,
IF(B16="ELAW",850*75%,
IF(B16="LAW",650*75%,
IF(B16="MAW",550*75%,
IF(B16="SAW",450*75%,
IF(B16="LPVC",450*75%,
IF(B16="MPVC",400*75%,
IF(B16="SPVC",350*75%,
IF(B16="SADLAW",2000*75%,
IF(B16="SADMAW",1900*75%,
IF(B16="SADSAW",1700*75%,0)))))))))))))))</f>
        <v/>
      </c>
      <c r="I16" s="88">
        <f>SUM(H16*F16)</f>
        <v/>
      </c>
      <c r="J16" s="93" t="n">
        <v>642.76</v>
      </c>
      <c r="K16" s="4" t="n"/>
      <c r="L16" s="4" t="n"/>
      <c r="M16" s="4">
        <f>IF(B16="CW",SUM(O16*850),0)</f>
        <v/>
      </c>
      <c r="N16" s="4">
        <f>IF(B16="CW",SUM(O16*150),0)</f>
        <v/>
      </c>
      <c r="O16" s="21">
        <f>(TRIM(LEFT(E16,FIND("x",E16)-1)) * TRIM(MID(E16,FIND("x",E16)+1,LEN(E16)))) / 1000000</f>
        <v/>
      </c>
      <c r="P16" s="4">
        <f t="array" ref="P16">SUM(F16*J16:K16)</f>
        <v/>
      </c>
      <c r="Q16" s="4" t="n"/>
    </row>
    <row r="17" customFormat="1" s="3">
      <c r="B17" s="4" t="inlineStr">
        <is>
          <t>MPVC</t>
        </is>
      </c>
      <c r="C17" s="95" t="inlineStr">
        <is>
          <t>WG-06 - uPVC win 2378x1140 - Top-hung fanlight over fixed; obscure glazed</t>
        </is>
      </c>
      <c r="D17" s="90" t="n"/>
      <c r="E17" s="54" t="inlineStr">
        <is>
          <t>2378 x 1140</t>
        </is>
      </c>
      <c r="F17" s="96" t="n">
        <v>1</v>
      </c>
      <c r="G17" s="92" t="inlineStr">
        <is>
          <t>nr</t>
        </is>
      </c>
      <c r="H17" s="86">
        <f>IF(B17="CW",
M17,
J17+K17+L17+
IF(B17="SUPD",1000*75%,
IF(B17="DUPD",1500*75%,
IF(B17="SAD",1200*75%,
IF(B17="DAD",2000*75%,
IF(B17="ELAW",850*75%,
IF(B17="LAW",650*75%,
IF(B17="MAW",550*75%,
IF(B17="SAW",450*75%,
IF(B17="LPVC",450*75%,
IF(B17="MPVC",400*75%,
IF(B17="SPVC",350*75%,
IF(B17="SADLAW",2000*75%,
IF(B17="SADMAW",1900*75%,
IF(B17="SADSAW",1700*75%,0)))))))))))))))</f>
        <v/>
      </c>
      <c r="I17" s="88">
        <f>SUM(H17*F17)</f>
        <v/>
      </c>
      <c r="J17" s="93" t="n">
        <v>642.76</v>
      </c>
      <c r="K17" s="4" t="n"/>
      <c r="L17" s="4" t="n"/>
      <c r="M17" s="4">
        <f>IF(B17="CW",SUM(O17*850),0)</f>
        <v/>
      </c>
      <c r="N17" s="4">
        <f>IF(B17="CW",SUM(O17*150),0)</f>
        <v/>
      </c>
      <c r="O17" s="21">
        <f>(TRIM(LEFT(E17,FIND("x",E17)-1)) * TRIM(MID(E17,FIND("x",E17)+1,LEN(E17)))) / 1000000</f>
        <v/>
      </c>
      <c r="P17" s="4">
        <f t="array" ref="P17">SUM(F17*J17:K17)</f>
        <v/>
      </c>
      <c r="Q17" s="4" t="n"/>
    </row>
    <row r="18" customFormat="1" s="3">
      <c r="B18" s="4" t="inlineStr">
        <is>
          <t>MPVC</t>
        </is>
      </c>
      <c r="C18" s="95" t="inlineStr">
        <is>
          <t>WG-07 - uPVC win 2372x1140 - Top-hung fanlight over fixed; obscure glazed</t>
        </is>
      </c>
      <c r="D18" s="90" t="n"/>
      <c r="E18" s="54" t="inlineStr">
        <is>
          <t>2372 x 1140</t>
        </is>
      </c>
      <c r="F18" s="96" t="n">
        <v>1</v>
      </c>
      <c r="G18" s="92" t="inlineStr">
        <is>
          <t>nr</t>
        </is>
      </c>
      <c r="H18" s="86">
        <f>IF(B18="CW",
M18,
J18+K18+L18+
IF(B18="SUPD",1000*75%,
IF(B18="DUPD",1500*75%,
IF(B18="SAD",1200*75%,
IF(B18="DAD",2000*75%,
IF(B18="ELAW",850*75%,
IF(B18="LAW",650*75%,
IF(B18="MAW",550*75%,
IF(B18="SAW",450*75%,
IF(B18="LPVC",450*75%,
IF(B18="MPVC",400*75%,
IF(B18="SPVC",350*75%,
IF(B18="SADLAW",2000*75%,
IF(B18="SADMAW",1900*75%,
IF(B18="SADSAW",1700*75%,0)))))))))))))))</f>
        <v/>
      </c>
      <c r="I18" s="88">
        <f>SUM(H18*F18)</f>
        <v/>
      </c>
      <c r="J18" s="93" t="n">
        <v>641.3200000000001</v>
      </c>
      <c r="K18" s="4" t="n"/>
      <c r="L18" s="4" t="n"/>
      <c r="M18" s="4">
        <f>IF(B18="CW",SUM(O18*850),0)</f>
        <v/>
      </c>
      <c r="N18" s="4">
        <f>IF(B18="CW",SUM(O18*150),0)</f>
        <v/>
      </c>
      <c r="O18" s="21">
        <f>(TRIM(LEFT(E18,FIND("x",E18)-1)) * TRIM(MID(E18,FIND("x",E18)+1,LEN(E18)))) / 1000000</f>
        <v/>
      </c>
      <c r="P18" s="4">
        <f t="array" ref="P18">SUM(F18*J18:K18)</f>
        <v/>
      </c>
      <c r="Q18" s="4" t="n"/>
    </row>
    <row r="19" customFormat="1" s="3">
      <c r="B19" s="4" t="inlineStr">
        <is>
          <t>MPVC</t>
        </is>
      </c>
      <c r="C19" s="97" t="inlineStr">
        <is>
          <t>WG-08 - uPVC win 2372x1140 - Top-hung fanlight over fixed; obscure glazed</t>
        </is>
      </c>
      <c r="D19" s="90" t="n"/>
      <c r="E19" s="54" t="inlineStr">
        <is>
          <t>2372 x 1140</t>
        </is>
      </c>
      <c r="F19" s="96" t="n">
        <v>1</v>
      </c>
      <c r="G19" s="92" t="inlineStr">
        <is>
          <t>nr</t>
        </is>
      </c>
      <c r="H19" s="86">
        <f>IF(B19="CW",
M19,
J19+K19+L19+
IF(B19="SUPD",1000*75%,
IF(B19="DUPD",1500*75%,
IF(B19="SAD",1200*75%,
IF(B19="DAD",2000*75%,
IF(B19="ELAW",850*75%,
IF(B19="LAW",650*75%,
IF(B19="MAW",550*75%,
IF(B19="SAW",450*75%,
IF(B19="LPVC",450*75%,
IF(B19="MPVC",400*75%,
IF(B19="SPVC",350*75%,
IF(B19="SADLAW",2000*75%,
IF(B19="SADMAW",1900*75%,
IF(B19="SADSAW",1700*75%,0)))))))))))))))</f>
        <v/>
      </c>
      <c r="I19" s="88">
        <f>SUM(H19*F19)</f>
        <v/>
      </c>
      <c r="J19" s="93" t="n">
        <v>641.3200000000001</v>
      </c>
      <c r="K19" s="4" t="n"/>
      <c r="L19" s="4" t="n"/>
      <c r="M19" s="4">
        <f>IF(B19="CW",SUM(O19*850),0)</f>
        <v/>
      </c>
      <c r="N19" s="4">
        <f>IF(B19="CW",SUM(O19*150),0)</f>
        <v/>
      </c>
      <c r="O19" s="57">
        <f>(TRIM(LEFT(E19,FIND("x",E19)-1)) * TRIM(MID(E19,FIND("x",E19)+1,LEN(E19)))) / 1000000</f>
        <v/>
      </c>
      <c r="P19" s="4">
        <f t="array" ref="P19">SUM(F19*J19:K19)</f>
        <v/>
      </c>
      <c r="Q19" s="4" t="n"/>
    </row>
    <row r="20" ht="39.75" customFormat="1" customHeight="1" s="3" thickBot="1">
      <c r="B20" s="4" t="inlineStr">
        <is>
          <t>MPVC</t>
        </is>
      </c>
      <c r="C20" s="98" t="inlineStr">
        <is>
          <t>WG-10 - uPVC win 2372x1140 - Top-hung fanlight over fixed; obscure glazed</t>
        </is>
      </c>
      <c r="D20" s="99" t="n"/>
      <c r="E20" s="100" t="inlineStr">
        <is>
          <t>2372 x 1140</t>
        </is>
      </c>
      <c r="F20" s="101" t="n">
        <v>1</v>
      </c>
      <c r="G20" s="92" t="inlineStr">
        <is>
          <t>nr</t>
        </is>
      </c>
      <c r="H20" s="102">
        <f>IF(B20="CW",
M20,
J20+K20+L20+
IF(B20="SUPD",1000*75%,
IF(B20="DUPD",1500*75%,
IF(B20="SAD",1200*75%,
IF(B20="DAD",2000*75%,
IF(B20="ELAW",850*75%,
IF(B20="LAW",650*75%,
IF(B20="MAW",550*75%,
IF(B20="SAW",450*75%,
IF(B20="LPVC",450*75%,
IF(B20="MPVC",400*75%,
IF(B20="SPVC",350*75%,
IF(B20="SADLAW",2000*75%,
IF(B20="SADMAW",1900*75%,
IF(B20="SADSAW",1700*75%,0)))))))))))))))</f>
        <v/>
      </c>
      <c r="I20" s="103">
        <f>SUM(H20*F20)</f>
        <v/>
      </c>
      <c r="J20" s="104" t="n">
        <v>641.3200000000001</v>
      </c>
      <c r="K20" s="4" t="n"/>
      <c r="L20" s="4" t="n"/>
      <c r="M20" s="4">
        <f>IF(B20="CW",SUM(O20*850),0)</f>
        <v/>
      </c>
      <c r="N20" s="4">
        <f>IF(B20="CW",SUM(O20*150),0)</f>
        <v/>
      </c>
      <c r="O20" s="21">
        <f>(TRIM(LEFT(E20,FIND("x",E20)-1)) * TRIM(MID(E20,FIND("x",E20)+1,LEN(E20)))) / 1000000</f>
        <v/>
      </c>
      <c r="P20" s="4" t="n"/>
    </row>
    <row r="21" ht="15" customFormat="1" customHeight="1" s="3">
      <c r="B21" s="4" t="inlineStr">
        <is>
          <t>MPVC</t>
        </is>
      </c>
      <c r="C21" s="98" t="inlineStr">
        <is>
          <t>WF-01 - uPVC win 2372x1140 - Top-hung fanlight over fixed; obscure glazed</t>
        </is>
      </c>
      <c r="D21" s="99" t="n"/>
      <c r="E21" s="100" t="inlineStr">
        <is>
          <t>2372 x 1140</t>
        </is>
      </c>
      <c r="F21" s="101" t="n">
        <v>1</v>
      </c>
      <c r="G21" s="92" t="inlineStr">
        <is>
          <t>nr</t>
        </is>
      </c>
      <c r="H21" s="102">
        <f>IF(B21="CW",
M21,
J21+K21+L21+
IF(B21="SUPD",1000*75%,
IF(B21="DUPD",1500*75%,
IF(B21="SAD",1200*75%,
IF(B21="DAD",2000*75%,
IF(B21="ELAW",850*75%,
IF(B21="LAW",650*75%,
IF(B21="MAW",550*75%,
IF(B21="SAW",450*75%,
IF(B21="LPVC",450*75%,
IF(B21="MPVC",400*75%,
IF(B21="SPVC",350*75%,
IF(B21="SADLAW",2000*75%,
IF(B21="SADMAW",1900*75%,
IF(B21="SADSAW",1700*75%,0)))))))))))))))</f>
        <v/>
      </c>
      <c r="I21" s="103">
        <f>SUM(H21*F21)</f>
        <v/>
      </c>
      <c r="J21" s="104" t="n">
        <v>641.3200000000001</v>
      </c>
      <c r="K21" s="4" t="n"/>
      <c r="L21" s="4" t="n"/>
      <c r="M21" s="4">
        <f>IF(B21="CW",SUM(O21*850),0)</f>
        <v/>
      </c>
      <c r="N21" s="4">
        <f>IF(B21="CW",SUM(O21*150),0)</f>
        <v/>
      </c>
      <c r="O21" s="21">
        <f>(TRIM(LEFT(E21,FIND("x",E21)-1)) * TRIM(MID(E21,FIND("x",E21)+1,LEN(E21)))) / 1000000</f>
        <v/>
      </c>
      <c r="P21" s="4" t="n"/>
    </row>
    <row r="22" ht="15" customFormat="1" customHeight="1" s="3">
      <c r="B22" s="4" t="inlineStr">
        <is>
          <t>MPVC</t>
        </is>
      </c>
      <c r="C22" s="98" t="inlineStr">
        <is>
          <t>WF-02 - uPVC win 2372x1140 - Top-hung fanlight over fixed; obscure glazed</t>
        </is>
      </c>
      <c r="D22" s="99" t="n"/>
      <c r="E22" s="100" t="inlineStr">
        <is>
          <t>2372 x 1140</t>
        </is>
      </c>
      <c r="F22" s="101" t="n">
        <v>1</v>
      </c>
      <c r="G22" s="92" t="inlineStr">
        <is>
          <t>nr</t>
        </is>
      </c>
      <c r="H22" s="102">
        <f>IF(B22="CW",
M22,
J22+K22+L22+
IF(B22="SUPD",1000*75%,
IF(B22="DUPD",1500*75%,
IF(B22="SAD",1200*75%,
IF(B22="DAD",2000*75%,
IF(B22="ELAW",850*75%,
IF(B22="LAW",650*75%,
IF(B22="MAW",550*75%,
IF(B22="SAW",450*75%,
IF(B22="LPVC",450*75%,
IF(B22="MPVC",400*75%,
IF(B22="SPVC",350*75%,
IF(B22="SADLAW",2000*75%,
IF(B22="SADMAW",1900*75%,
IF(B22="SADSAW",1700*75%,0)))))))))))))))</f>
        <v/>
      </c>
      <c r="I22" s="103">
        <f>SUM(H22*F22)</f>
        <v/>
      </c>
      <c r="J22" s="104" t="n">
        <v>641.3200000000001</v>
      </c>
      <c r="K22" s="4" t="n"/>
      <c r="L22" s="4" t="n"/>
      <c r="M22" s="4">
        <f>IF(B22="CW",SUM(O22*850),0)</f>
        <v/>
      </c>
      <c r="N22" s="4">
        <f>IF(B22="CW",SUM(O22*150),0)</f>
        <v/>
      </c>
      <c r="O22" s="21">
        <f>(TRIM(LEFT(E22,FIND("x",E22)-1)) * TRIM(MID(E22,FIND("x",E22)+1,LEN(E22)))) / 1000000</f>
        <v/>
      </c>
      <c r="P22" s="4" t="n"/>
    </row>
    <row r="23" ht="13.8" customFormat="1" customHeight="1" s="3">
      <c r="B23" s="4" t="inlineStr">
        <is>
          <t>MPVC</t>
        </is>
      </c>
      <c r="C23" s="98" t="inlineStr">
        <is>
          <t>WF-03 - uPVC win 2378x1140 - Top-hung fanlight over fixed; obscure glazed</t>
        </is>
      </c>
      <c r="D23" s="99" t="n"/>
      <c r="E23" s="100" t="inlineStr">
        <is>
          <t>2378 x 1140</t>
        </is>
      </c>
      <c r="F23" s="101" t="n">
        <v>1</v>
      </c>
      <c r="G23" s="92" t="inlineStr">
        <is>
          <t>nr</t>
        </is>
      </c>
      <c r="H23" s="102">
        <f>IF(B23="CW",
M23,
J23+K23+L23+
IF(B23="SUPD",1000*75%,
IF(B23="DUPD",1500*75%,
IF(B23="SAD",1200*75%,
IF(B23="DAD",2000*75%,
IF(B23="ELAW",850*75%,
IF(B23="LAW",650*75%,
IF(B23="MAW",550*75%,
IF(B23="SAW",450*75%,
IF(B23="LPVC",450*75%,
IF(B23="MPVC",400*75%,
IF(B23="SPVC",350*75%,
IF(B23="SADLAW",2000*75%,
IF(B23="SADMAW",1900*75%,
IF(B23="SADSAW",1700*75%,0)))))))))))))))</f>
        <v/>
      </c>
      <c r="I23" s="103">
        <f>SUM(H23*F23)</f>
        <v/>
      </c>
      <c r="J23" s="104" t="n">
        <v>642.76</v>
      </c>
      <c r="K23" s="4" t="n"/>
      <c r="L23" s="4" t="n"/>
      <c r="M23" s="4">
        <f>IF(B23="CW",SUM(O23*850),0)</f>
        <v/>
      </c>
      <c r="N23" s="4">
        <f>IF(B23="CW",SUM(O23*150),0)</f>
        <v/>
      </c>
      <c r="O23" s="21">
        <f>(TRIM(LEFT(E23,FIND("x",E23)-1)) * TRIM(MID(E23,FIND("x",E23)+1,LEN(E23)))) / 1000000</f>
        <v/>
      </c>
      <c r="P23" s="4" t="n"/>
    </row>
    <row r="24" customFormat="1" s="3" thickBot="1">
      <c r="B24" s="4" t="inlineStr">
        <is>
          <t>MPVC</t>
        </is>
      </c>
      <c r="C24" s="98" t="inlineStr">
        <is>
          <t>WF-04 - uPVC win 2378x1140 - Top-hung fanlight over fixed; obscure glazed</t>
        </is>
      </c>
      <c r="D24" s="99" t="n"/>
      <c r="E24" s="100" t="inlineStr">
        <is>
          <t>2378 x 1140</t>
        </is>
      </c>
      <c r="F24" s="101" t="n">
        <v>1</v>
      </c>
      <c r="G24" s="92" t="inlineStr">
        <is>
          <t>nr</t>
        </is>
      </c>
      <c r="H24" s="102">
        <f>IF(B24="CW",
M24,
J24+K24+L24+
IF(B24="SUPD",1000*75%,
IF(B24="DUPD",1500*75%,
IF(B24="SAD",1200*75%,
IF(B24="DAD",2000*75%,
IF(B24="ELAW",850*75%,
IF(B24="LAW",650*75%,
IF(B24="MAW",550*75%,
IF(B24="SAW",450*75%,
IF(B24="LPVC",450*75%,
IF(B24="MPVC",400*75%,
IF(B24="SPVC",350*75%,
IF(B24="SADLAW",2000*75%,
IF(B24="SADMAW",1900*75%,
IF(B24="SADSAW",1700*75%,0)))))))))))))))</f>
        <v/>
      </c>
      <c r="I24" s="103">
        <f>SUM(H24*F24)</f>
        <v/>
      </c>
      <c r="J24" s="104" t="n">
        <v>642.76</v>
      </c>
      <c r="K24" s="4" t="n"/>
      <c r="L24" s="4" t="n"/>
      <c r="M24" s="4">
        <f>IF(B24="CW",SUM(O24*850),0)</f>
        <v/>
      </c>
      <c r="N24" s="4">
        <f>IF(B24="CW",SUM(O24*150),0)</f>
        <v/>
      </c>
      <c r="O24" s="21">
        <f>(TRIM(LEFT(E24,FIND("x",E24)-1)) * TRIM(MID(E24,FIND("x",E24)+1,LEN(E24)))) / 1000000</f>
        <v/>
      </c>
      <c r="P24" s="4" t="n"/>
    </row>
    <row r="25" ht="5.4" customFormat="1" customHeight="1" s="3" thickBot="1">
      <c r="B25" s="4" t="inlineStr">
        <is>
          <t>MPVC</t>
        </is>
      </c>
      <c r="C25" s="98" t="inlineStr">
        <is>
          <t>WF-05 - uPVC win 2378x1140 - Top-hung fanlight over fixed; obscure glazed</t>
        </is>
      </c>
      <c r="D25" s="99" t="n"/>
      <c r="E25" s="100" t="inlineStr">
        <is>
          <t>2378 x 1140</t>
        </is>
      </c>
      <c r="F25" s="101" t="n">
        <v>1</v>
      </c>
      <c r="G25" s="92" t="inlineStr">
        <is>
          <t>nr</t>
        </is>
      </c>
      <c r="H25" s="102">
        <f>IF(B25="CW",
M25,
J25+K25+L25+
IF(B25="SUPD",1000*75%,
IF(B25="DUPD",1500*75%,
IF(B25="SAD",1200*75%,
IF(B25="DAD",2000*75%,
IF(B25="ELAW",850*75%,
IF(B25="LAW",650*75%,
IF(B25="MAW",550*75%,
IF(B25="SAW",450*75%,
IF(B25="LPVC",450*75%,
IF(B25="MPVC",400*75%,
IF(B25="SPVC",350*75%,
IF(B25="SADLAW",2000*75%,
IF(B25="SADMAW",1900*75%,
IF(B25="SADSAW",1700*75%,0)))))))))))))))</f>
        <v/>
      </c>
      <c r="I25" s="103">
        <f>SUM(H25*F25)</f>
        <v/>
      </c>
      <c r="J25" s="104" t="n">
        <v>642.76</v>
      </c>
      <c r="K25" s="4" t="n"/>
      <c r="L25" s="4" t="n"/>
      <c r="M25" s="4">
        <f>IF(B25="CW",SUM(O25*850),0)</f>
        <v/>
      </c>
      <c r="N25" s="4">
        <f>IF(B25="CW",SUM(O25*150),0)</f>
        <v/>
      </c>
      <c r="O25" s="21">
        <f>(TRIM(LEFT(E25,FIND("x",E25)-1)) * TRIM(MID(E25,FIND("x",E25)+1,LEN(E25)))) / 1000000</f>
        <v/>
      </c>
      <c r="P25" s="4" t="n"/>
    </row>
    <row r="26" ht="15.6" customFormat="1" customHeight="1" s="3">
      <c r="B26" s="4" t="inlineStr">
        <is>
          <t>MPVC</t>
        </is>
      </c>
      <c r="C26" s="98" t="inlineStr">
        <is>
          <t>WF-06 - uPVC win 2372x1140 - Top-hung fanlight over fixed; obscure glazed</t>
        </is>
      </c>
      <c r="D26" s="99" t="n"/>
      <c r="E26" s="100" t="inlineStr">
        <is>
          <t>2372 x 1140</t>
        </is>
      </c>
      <c r="F26" s="101" t="n">
        <v>1</v>
      </c>
      <c r="G26" s="92" t="inlineStr">
        <is>
          <t>nr</t>
        </is>
      </c>
      <c r="H26" s="102">
        <f>IF(B26="CW",
M26,
J26+K26+L26+
IF(B26="SUPD",1000*75%,
IF(B26="DUPD",1500*75%,
IF(B26="SAD",1200*75%,
IF(B26="DAD",2000*75%,
IF(B26="ELAW",850*75%,
IF(B26="LAW",650*75%,
IF(B26="MAW",550*75%,
IF(B26="SAW",450*75%,
IF(B26="LPVC",450*75%,
IF(B26="MPVC",400*75%,
IF(B26="SPVC",350*75%,
IF(B26="SADLAW",2000*75%,
IF(B26="SADMAW",1900*75%,
IF(B26="SADSAW",1700*75%,0)))))))))))))))</f>
        <v/>
      </c>
      <c r="I26" s="103">
        <f>SUM(H26*F26)</f>
        <v/>
      </c>
      <c r="J26" s="104" t="n">
        <v>641.3200000000001</v>
      </c>
      <c r="K26" s="4" t="n"/>
      <c r="L26" s="4" t="n"/>
      <c r="M26" s="4">
        <f>IF(B26="CW",SUM(O26*850),0)</f>
        <v/>
      </c>
      <c r="N26" s="4">
        <f>IF(B26="CW",SUM(O26*150),0)</f>
        <v/>
      </c>
      <c r="O26" s="21">
        <f>(TRIM(LEFT(E26,FIND("x",E26)-1)) * TRIM(MID(E26,FIND("x",E26)+1,LEN(E26)))) / 1000000</f>
        <v/>
      </c>
      <c r="P26" s="4" t="n"/>
    </row>
    <row r="27" customFormat="1" s="3">
      <c r="B27" s="4" t="inlineStr">
        <is>
          <t>MPVC</t>
        </is>
      </c>
      <c r="C27" s="98" t="inlineStr">
        <is>
          <t>WF-07 - uPVC win 2378x1140 - Top-hung fanlight over fixed; obscure glazed</t>
        </is>
      </c>
      <c r="D27" s="99" t="n"/>
      <c r="E27" s="100" t="inlineStr">
        <is>
          <t>2378 x 1140</t>
        </is>
      </c>
      <c r="F27" s="101" t="n">
        <v>1</v>
      </c>
      <c r="G27" s="92" t="inlineStr">
        <is>
          <t>nr</t>
        </is>
      </c>
      <c r="H27" s="102">
        <f>IF(B27="CW",
M27,
J27+K27+L27+
IF(B27="SUPD",1000*75%,
IF(B27="DUPD",1500*75%,
IF(B27="SAD",1200*75%,
IF(B27="DAD",2000*75%,
IF(B27="ELAW",850*75%,
IF(B27="LAW",650*75%,
IF(B27="MAW",550*75%,
IF(B27="SAW",450*75%,
IF(B27="LPVC",450*75%,
IF(B27="MPVC",400*75%,
IF(B27="SPVC",350*75%,
IF(B27="SADLAW",2000*75%,
IF(B27="SADMAW",1900*75%,
IF(B27="SADSAW",1700*75%,0)))))))))))))))</f>
        <v/>
      </c>
      <c r="I27" s="103">
        <f>SUM(H27*F27)</f>
        <v/>
      </c>
      <c r="J27" s="104" t="n">
        <v>642.76</v>
      </c>
      <c r="K27" s="4" t="n"/>
      <c r="L27" s="4" t="n"/>
      <c r="M27" s="4">
        <f>IF(B27="CW",SUM(O27*850),0)</f>
        <v/>
      </c>
      <c r="N27" s="4">
        <f>IF(B27="CW",SUM(O27*150),0)</f>
        <v/>
      </c>
      <c r="O27" s="21">
        <f>(TRIM(LEFT(E27,FIND("x",E27)-1)) * TRIM(MID(E27,FIND("x",E27)+1,LEN(E27)))) / 1000000</f>
        <v/>
      </c>
      <c r="P27" s="4" t="n"/>
    </row>
    <row r="28" customFormat="1" s="3">
      <c r="B28" s="4" t="inlineStr">
        <is>
          <t>MPVC</t>
        </is>
      </c>
      <c r="C28" s="98" t="inlineStr">
        <is>
          <t>WF-08 - uPVC win 2372x1140 - Top-hung fanlight over fixed; obscure glazed</t>
        </is>
      </c>
      <c r="D28" s="99" t="n"/>
      <c r="E28" s="100" t="inlineStr">
        <is>
          <t>2372 x 1140</t>
        </is>
      </c>
      <c r="F28" s="101" t="n">
        <v>1</v>
      </c>
      <c r="G28" s="92" t="inlineStr">
        <is>
          <t>nr</t>
        </is>
      </c>
      <c r="H28" s="102">
        <f>IF(B28="CW",
M28,
J28+K28+L28+
IF(B28="SUPD",1000*75%,
IF(B28="DUPD",1500*75%,
IF(B28="SAD",1200*75%,
IF(B28="DAD",2000*75%,
IF(B28="ELAW",850*75%,
IF(B28="LAW",650*75%,
IF(B28="MAW",550*75%,
IF(B28="SAW",450*75%,
IF(B28="LPVC",450*75%,
IF(B28="MPVC",400*75%,
IF(B28="SPVC",350*75%,
IF(B28="SADLAW",2000*75%,
IF(B28="SADMAW",1900*75%,
IF(B28="SADSAW",1700*75%,0)))))))))))))))</f>
        <v/>
      </c>
      <c r="I28" s="103">
        <f>SUM(H28*F28)</f>
        <v/>
      </c>
      <c r="J28" s="104" t="n">
        <v>641.3200000000001</v>
      </c>
      <c r="K28" s="4" t="n"/>
      <c r="L28" s="4" t="n"/>
      <c r="M28" s="4">
        <f>IF(B28="CW",SUM(O28*850),0)</f>
        <v/>
      </c>
      <c r="N28" s="4">
        <f>IF(B28="CW",SUM(O28*150),0)</f>
        <v/>
      </c>
      <c r="O28" s="21">
        <f>(TRIM(LEFT(E28,FIND("x",E28)-1)) * TRIM(MID(E28,FIND("x",E28)+1,LEN(E28)))) / 1000000</f>
        <v/>
      </c>
      <c r="P28" s="4" t="n"/>
    </row>
    <row r="29" ht="18.6" customFormat="1" customHeight="1" s="3" thickBot="1">
      <c r="B29" s="4" t="inlineStr">
        <is>
          <t>MPVC</t>
        </is>
      </c>
      <c r="C29" s="98" t="inlineStr">
        <is>
          <t>WF-09 - uPVC win 2372x1140 - Top-hung fanlight over fixed; obscure glazed</t>
        </is>
      </c>
      <c r="D29" s="99" t="n"/>
      <c r="E29" s="100" t="inlineStr">
        <is>
          <t>2372 x 1140</t>
        </is>
      </c>
      <c r="F29" s="101" t="n">
        <v>1</v>
      </c>
      <c r="G29" s="92" t="inlineStr">
        <is>
          <t>nr</t>
        </is>
      </c>
      <c r="H29" s="102">
        <f>IF(B29="CW",
M29,
J29+K29+L29+
IF(B29="SUPD",1000*75%,
IF(B29="DUPD",1500*75%,
IF(B29="SAD",1200*75%,
IF(B29="DAD",2000*75%,
IF(B29="ELAW",850*75%,
IF(B29="LAW",650*75%,
IF(B29="MAW",550*75%,
IF(B29="SAW",450*75%,
IF(B29="LPVC",450*75%,
IF(B29="MPVC",400*75%,
IF(B29="SPVC",350*75%,
IF(B29="SADLAW",2000*75%,
IF(B29="SADMAW",1900*75%,
IF(B29="SADSAW",1700*75%,0)))))))))))))))</f>
        <v/>
      </c>
      <c r="I29" s="103">
        <f>SUM(H29*F29)</f>
        <v/>
      </c>
      <c r="J29" s="104" t="n">
        <v>641.3200000000001</v>
      </c>
      <c r="K29" s="4" t="n"/>
      <c r="L29" s="4" t="n"/>
      <c r="M29" s="4">
        <f>IF(B29="CW",SUM(O29*850),0)</f>
        <v/>
      </c>
      <c r="N29" s="4">
        <f>IF(B29="CW",SUM(O29*150),0)</f>
        <v/>
      </c>
      <c r="O29" s="21">
        <f>(TRIM(LEFT(E29,FIND("x",E29)-1)) * TRIM(MID(E29,FIND("x",E29)+1,LEN(E29)))) / 1000000</f>
        <v/>
      </c>
      <c r="P29" s="4" t="n"/>
    </row>
    <row r="30">
      <c r="B30" s="4" t="inlineStr">
        <is>
          <t>SPVC</t>
        </is>
      </c>
      <c r="C30" s="98" t="inlineStr">
        <is>
          <t>WG-09 - uPVC win 905x1150 - Top-hung over fixed; obscure glazed</t>
        </is>
      </c>
      <c r="D30" s="99" t="n"/>
      <c r="E30" s="100" t="inlineStr">
        <is>
          <t>905 x 1150</t>
        </is>
      </c>
      <c r="F30" s="101" t="n">
        <v>1</v>
      </c>
      <c r="G30" s="92" t="inlineStr">
        <is>
          <t>nr</t>
        </is>
      </c>
      <c r="H30" s="102">
        <f>IF(B30="CW",
M30,
J30+K30+L30+
IF(B30="SUPD",1000*75%,
IF(B30="DUPD",1500*75%,
IF(B30="SAD",1200*75%,
IF(B30="DAD",2000*75%,
IF(B30="ELAW",850*75%,
IF(B30="LAW",650*75%,
IF(B30="MAW",550*75%,
IF(B30="SAW",450*75%,
IF(B30="LPVC",450*75%,
IF(B30="MPVC",400*75%,
IF(B30="SPVC",350*75%,
IF(B30="SADLAW",2000*75%,
IF(B30="SADMAW",1900*75%,
IF(B30="SADSAW",1700*75%,0)))))))))))))))</f>
        <v/>
      </c>
      <c r="I30" s="103">
        <f>SUM(H30*F30)</f>
        <v/>
      </c>
      <c r="J30" s="104" t="n">
        <v>319.04</v>
      </c>
      <c r="K30" s="4" t="n"/>
      <c r="L30" s="4" t="n"/>
      <c r="M30" s="4">
        <f>IF(B30="CW",SUM(O30*850),0)</f>
        <v/>
      </c>
      <c r="N30" s="4">
        <f>IF(B30="CW",SUM(O30*150),0)</f>
        <v/>
      </c>
      <c r="O30" s="21">
        <f>(TRIM(LEFT(E30,FIND("x",E30)-1)) * TRIM(MID(E30,FIND("x",E30)+1,LEN(E30)))) / 1000000</f>
        <v/>
      </c>
      <c r="P30" s="4" t="n"/>
    </row>
    <row r="31">
      <c r="B31" s="4" t="inlineStr">
        <is>
          <t>SPVC</t>
        </is>
      </c>
      <c r="C31" s="98" t="inlineStr">
        <is>
          <t>WG-11 - uPVC win 825x975 - Single fixed/opener; obscure glazed</t>
        </is>
      </c>
      <c r="D31" s="99" t="n"/>
      <c r="E31" s="100" t="inlineStr">
        <is>
          <t>825 x 975</t>
        </is>
      </c>
      <c r="F31" s="101" t="n">
        <v>1</v>
      </c>
      <c r="G31" s="92" t="inlineStr">
        <is>
          <t>nr</t>
        </is>
      </c>
      <c r="H31" s="102">
        <f>IF(B31="CW",
M31,
J31+K31+L31+
IF(B31="SUPD",1000*75%,
IF(B31="DUPD",1500*75%,
IF(B31="SAD",1200*75%,
IF(B31="DAD",2000*75%,
IF(B31="ELAW",850*75%,
IF(B31="LAW",650*75%,
IF(B31="MAW",550*75%,
IF(B31="SAW",450*75%,
IF(B31="LPVC",450*75%,
IF(B31="MPVC",400*75%,
IF(B31="SPVC",350*75%,
IF(B31="SADLAW",2000*75%,
IF(B31="SADMAW",1900*75%,
IF(B31="SADSAW",1700*75%,0)))))))))))))))</f>
        <v/>
      </c>
      <c r="I31" s="103">
        <f>SUM(H31*F31)</f>
        <v/>
      </c>
      <c r="J31" s="104" t="n">
        <v>262.48</v>
      </c>
      <c r="K31" s="4" t="n"/>
      <c r="L31" s="4" t="n"/>
      <c r="M31" s="4">
        <f>IF(B31="CW",SUM(O31*850),0)</f>
        <v/>
      </c>
      <c r="N31" s="4">
        <f>IF(B31="CW",SUM(O31*150),0)</f>
        <v/>
      </c>
      <c r="O31" s="21">
        <f>(TRIM(LEFT(E31,FIND("x",E31)-1)) * TRIM(MID(E31,FIND("x",E31)+1,LEN(E31)))) / 1000000</f>
        <v/>
      </c>
      <c r="P31" s="4" t="n"/>
    </row>
    <row r="32">
      <c r="B32" s="4" t="inlineStr">
        <is>
          <t>SPVC</t>
        </is>
      </c>
      <c r="C32" s="98" t="inlineStr">
        <is>
          <t>WG-41 - uPVC win 990x1120 - Top-hung over fixed; obscure glazed</t>
        </is>
      </c>
      <c r="D32" s="99" t="n"/>
      <c r="E32" s="100" t="inlineStr">
        <is>
          <t>990 x 1120</t>
        </is>
      </c>
      <c r="F32" s="101" t="n">
        <v>1</v>
      </c>
      <c r="G32" s="92" t="inlineStr">
        <is>
          <t>nr</t>
        </is>
      </c>
      <c r="H32" s="102">
        <f>IF(B32="CW",
M32,
J32+K32+L32+
IF(B32="SUPD",1000*75%,
IF(B32="DUPD",1500*75%,
IF(B32="SAD",1200*75%,
IF(B32="DAD",2000*75%,
IF(B32="ELAW",850*75%,
IF(B32="LAW",650*75%,
IF(B32="MAW",550*75%,
IF(B32="SAW",450*75%,
IF(B32="LPVC",450*75%,
IF(B32="MPVC",400*75%,
IF(B32="SPVC",350*75%,
IF(B32="SADLAW",2000*75%,
IF(B32="SADMAW",1900*75%,
IF(B32="SADSAW",1700*75%,0)))))))))))))))</f>
        <v/>
      </c>
      <c r="I32" s="103">
        <f>SUM(H32*F32)</f>
        <v/>
      </c>
      <c r="J32" s="104" t="n">
        <v>335.32</v>
      </c>
      <c r="K32" s="4" t="n"/>
      <c r="L32" s="4" t="n"/>
      <c r="M32" s="4">
        <f>IF(B32="CW",SUM(O32*850),0)</f>
        <v/>
      </c>
      <c r="N32" s="4">
        <f>IF(B32="CW",SUM(O32*150),0)</f>
        <v/>
      </c>
      <c r="O32" s="21">
        <f>(TRIM(LEFT(E32,FIND("x",E32)-1)) * TRIM(MID(E32,FIND("x",E32)+1,LEN(E32)))) / 1000000</f>
        <v/>
      </c>
      <c r="P32" s="4" t="n"/>
    </row>
    <row r="33">
      <c r="B33" s="4" t="inlineStr">
        <is>
          <t>SPVC</t>
        </is>
      </c>
      <c r="C33" s="98" t="inlineStr">
        <is>
          <t>WG-42 - uPVC win 990x1120 - Top-hung over fixed; obscure glazed</t>
        </is>
      </c>
      <c r="D33" s="99" t="n"/>
      <c r="E33" s="100" t="inlineStr">
        <is>
          <t>990 x 1120</t>
        </is>
      </c>
      <c r="F33" s="101" t="n">
        <v>1</v>
      </c>
      <c r="G33" s="92" t="inlineStr">
        <is>
          <t>nr</t>
        </is>
      </c>
      <c r="H33" s="102">
        <f>IF(B33="CW",
M33,
J33+K33+L33+
IF(B33="SUPD",1000*75%,
IF(B33="DUPD",1500*75%,
IF(B33="SAD",1200*75%,
IF(B33="DAD",2000*75%,
IF(B33="ELAW",850*75%,
IF(B33="LAW",650*75%,
IF(B33="MAW",550*75%,
IF(B33="SAW",450*75%,
IF(B33="LPVC",450*75%,
IF(B33="MPVC",400*75%,
IF(B33="SPVC",350*75%,
IF(B33="SADLAW",2000*75%,
IF(B33="SADMAW",1900*75%,
IF(B33="SADSAW",1700*75%,0)))))))))))))))</f>
        <v/>
      </c>
      <c r="I33" s="103">
        <f>SUM(H33*F33)</f>
        <v/>
      </c>
      <c r="J33" s="104" t="n">
        <v>335.32</v>
      </c>
      <c r="K33" s="4" t="n"/>
      <c r="L33" s="4" t="n"/>
      <c r="M33" s="4">
        <f>IF(B33="CW",SUM(O33*850),0)</f>
        <v/>
      </c>
      <c r="N33" s="4">
        <f>IF(B33="CW",SUM(O33*150),0)</f>
        <v/>
      </c>
      <c r="O33" s="21">
        <f>(TRIM(LEFT(E33,FIND("x",E33)-1)) * TRIM(MID(E33,FIND("x",E33)+1,LEN(E33)))) / 1000000</f>
        <v/>
      </c>
      <c r="P33" s="4" t="n"/>
    </row>
    <row r="34">
      <c r="B34" s="4" t="inlineStr">
        <is>
          <t>SPVC</t>
        </is>
      </c>
      <c r="C34" s="98" t="inlineStr">
        <is>
          <t>WF-19 - uPVC win 990x1120 - Top-hung over fixed; obscure glazed</t>
        </is>
      </c>
      <c r="D34" s="99" t="n"/>
      <c r="E34" s="100" t="inlineStr">
        <is>
          <t>990 x 1120</t>
        </is>
      </c>
      <c r="F34" s="101" t="n">
        <v>1</v>
      </c>
      <c r="G34" s="92" t="inlineStr">
        <is>
          <t>nr</t>
        </is>
      </c>
      <c r="H34" s="102">
        <f>IF(B34="CW",
M34,
J34+K34+L34+
IF(B34="SUPD",1000*75%,
IF(B34="DUPD",1500*75%,
IF(B34="SAD",1200*75%,
IF(B34="DAD",2000*75%,
IF(B34="ELAW",850*75%,
IF(B34="LAW",650*75%,
IF(B34="MAW",550*75%,
IF(B34="SAW",450*75%,
IF(B34="LPVC",450*75%,
IF(B34="MPVC",400*75%,
IF(B34="SPVC",350*75%,
IF(B34="SADLAW",2000*75%,
IF(B34="SADMAW",1900*75%,
IF(B34="SADSAW",1700*75%,0)))))))))))))))</f>
        <v/>
      </c>
      <c r="I34" s="103">
        <f>SUM(H34*F34)</f>
        <v/>
      </c>
      <c r="J34" s="104" t="n">
        <v>335.32</v>
      </c>
      <c r="K34" s="4" t="n"/>
      <c r="L34" s="4" t="n"/>
      <c r="M34" s="4">
        <f>IF(B34="CW",SUM(O34*850),0)</f>
        <v/>
      </c>
      <c r="N34" s="4">
        <f>IF(B34="CW",SUM(O34*150),0)</f>
        <v/>
      </c>
      <c r="O34" s="21">
        <f>(TRIM(LEFT(E34,FIND("x",E34)-1)) * TRIM(MID(E34,FIND("x",E34)+1,LEN(E34)))) / 1000000</f>
        <v/>
      </c>
      <c r="P34" s="4" t="n"/>
    </row>
    <row r="35">
      <c r="B35" s="4" t="inlineStr">
        <is>
          <t>SPVC</t>
        </is>
      </c>
      <c r="C35" s="98" t="inlineStr">
        <is>
          <t>WF-20 - uPVC win 990x1120 - Top-hung over fixed; obscure glazed</t>
        </is>
      </c>
      <c r="D35" s="99" t="n"/>
      <c r="E35" s="100" t="inlineStr">
        <is>
          <t>990 x 1120</t>
        </is>
      </c>
      <c r="F35" s="101" t="n">
        <v>1</v>
      </c>
      <c r="G35" s="92" t="inlineStr">
        <is>
          <t>nr</t>
        </is>
      </c>
      <c r="H35" s="102">
        <f>IF(B35="CW",
M35,
J35+K35+L35+
IF(B35="SUPD",1000*75%,
IF(B35="DUPD",1500*75%,
IF(B35="SAD",1200*75%,
IF(B35="DAD",2000*75%,
IF(B35="ELAW",850*75%,
IF(B35="LAW",650*75%,
IF(B35="MAW",550*75%,
IF(B35="SAW",450*75%,
IF(B35="LPVC",450*75%,
IF(B35="MPVC",400*75%,
IF(B35="SPVC",350*75%,
IF(B35="SADLAW",2000*75%,
IF(B35="SADMAW",1900*75%,
IF(B35="SADSAW",1700*75%,0)))))))))))))))</f>
        <v/>
      </c>
      <c r="I35" s="103">
        <f>SUM(H35*F35)</f>
        <v/>
      </c>
      <c r="J35" s="104" t="n">
        <v>335.32</v>
      </c>
      <c r="K35" s="4" t="n"/>
      <c r="L35" s="4" t="n"/>
      <c r="M35" s="4">
        <f>IF(B35="CW",SUM(O35*850),0)</f>
        <v/>
      </c>
      <c r="N35" s="4">
        <f>IF(B35="CW",SUM(O35*150),0)</f>
        <v/>
      </c>
      <c r="O35" s="21">
        <f>(TRIM(LEFT(E35,FIND("x",E35)-1)) * TRIM(MID(E35,FIND("x",E35)+1,LEN(E35)))) / 1000000</f>
        <v/>
      </c>
      <c r="P35" s="4" t="n"/>
    </row>
    <row r="36">
      <c r="B36" s="4" t="inlineStr">
        <is>
          <t>MPVC</t>
        </is>
      </c>
      <c r="C36" s="98" t="inlineStr">
        <is>
          <t>WG-13 - uPVC win 3108x500 - High-level 5-pane strip; 2 top-hung openers</t>
        </is>
      </c>
      <c r="D36" s="99" t="n"/>
      <c r="E36" s="100" t="inlineStr">
        <is>
          <t>3108 x 500</t>
        </is>
      </c>
      <c r="F36" s="101" t="n">
        <v>1</v>
      </c>
      <c r="G36" s="92" t="inlineStr">
        <is>
          <t>nr</t>
        </is>
      </c>
      <c r="H36" s="102">
        <f>IF(B36="CW",
M36,
J36+K36+L36+
IF(B36="SUPD",1000*75%,
IF(B36="DUPD",1500*75%,
IF(B36="SAD",1200*75%,
IF(B36="DAD",2000*75%,
IF(B36="ELAW",850*75%,
IF(B36="LAW",650*75%,
IF(B36="MAW",550*75%,
IF(B36="SAW",450*75%,
IF(B36="LPVC",450*75%,
IF(B36="MPVC",400*75%,
IF(B36="SPVC",350*75%,
IF(B36="SADLAW",2000*75%,
IF(B36="SADMAW",1900*75%,
IF(B36="SADSAW",1700*75%,0)))))))))))))))</f>
        <v/>
      </c>
      <c r="I36" s="103">
        <f>SUM(H36*F36)</f>
        <v/>
      </c>
      <c r="J36" s="104" t="n">
        <v>398.33</v>
      </c>
      <c r="K36" s="4" t="n"/>
      <c r="L36" s="4" t="n"/>
      <c r="M36" s="4">
        <f>IF(B36="CW",SUM(O36*850),0)</f>
        <v/>
      </c>
      <c r="N36" s="4">
        <f>IF(B36="CW",SUM(O36*150),0)</f>
        <v/>
      </c>
      <c r="O36" s="21">
        <f>(TRIM(LEFT(E36,FIND("x",E36)-1)) * TRIM(MID(E36,FIND("x",E36)+1,LEN(E36)))) / 1000000</f>
        <v/>
      </c>
      <c r="P36" s="4" t="n"/>
    </row>
    <row r="37">
      <c r="B37" s="4" t="inlineStr">
        <is>
          <t>LPVC</t>
        </is>
      </c>
      <c r="C37" s="98" t="inlineStr">
        <is>
          <t>WG-14 - uPVC win 2300x1950 - 6-pane with top-hung opener; 900mm render panel below</t>
        </is>
      </c>
      <c r="D37" s="99" t="n"/>
      <c r="E37" s="100" t="inlineStr">
        <is>
          <t>2300 x 1950</t>
        </is>
      </c>
      <c r="F37" s="101" t="n">
        <v>1</v>
      </c>
      <c r="G37" s="92" t="inlineStr">
        <is>
          <t>nr</t>
        </is>
      </c>
      <c r="H37" s="102">
        <f>IF(B37="CW",
M37,
J37+K37+L37+
IF(B37="SUPD",1000*75%,
IF(B37="DUPD",1500*75%,
IF(B37="SAD",1200*75%,
IF(B37="DAD",2000*75%,
IF(B37="ELAW",850*75%,
IF(B37="LAW",650*75%,
IF(B37="MAW",550*75%,
IF(B37="SAW",450*75%,
IF(B37="LPVC",450*75%,
IF(B37="MPVC",400*75%,
IF(B37="SPVC",350*75%,
IF(B37="SADLAW",2000*75%,
IF(B37="SADMAW",1900*75%,
IF(B37="SADSAW",1700*75%,0)))))))))))))))</f>
        <v/>
      </c>
      <c r="I37" s="103">
        <f>SUM(H37*F37)</f>
        <v/>
      </c>
      <c r="J37" s="104" t="n">
        <v>913.54</v>
      </c>
      <c r="K37" s="4" t="n"/>
      <c r="L37" s="4" t="n"/>
      <c r="M37" s="4">
        <f>IF(B37="CW",SUM(O37*850),0)</f>
        <v/>
      </c>
      <c r="N37" s="4">
        <f>IF(B37="CW",SUM(O37*150),0)</f>
        <v/>
      </c>
      <c r="O37" s="21">
        <f>(TRIM(LEFT(E37,FIND("x",E37)-1)) * TRIM(MID(E37,FIND("x",E37)+1,LEN(E37)))) / 1000000</f>
        <v/>
      </c>
      <c r="P37" s="4" t="n"/>
    </row>
    <row r="38">
      <c r="B38" s="4" t="inlineStr">
        <is>
          <t>LPVC</t>
        </is>
      </c>
      <c r="C38" s="98" t="inlineStr">
        <is>
          <t>WG-34 - uPVC win 2765x1460 - 2 top-hung openers + fixed; escape-capable</t>
        </is>
      </c>
      <c r="D38" s="99" t="n"/>
      <c r="E38" s="100" t="inlineStr">
        <is>
          <t>2765 x 1460</t>
        </is>
      </c>
      <c r="F38" s="101" t="n">
        <v>1</v>
      </c>
      <c r="G38" s="92" t="inlineStr">
        <is>
          <t>nr</t>
        </is>
      </c>
      <c r="H38" s="102">
        <f>IF(B38="CW",
M38,
J38+K38+L38+
IF(B38="SUPD",1000*75%,
IF(B38="DUPD",1500*75%,
IF(B38="SAD",1200*75%,
IF(B38="DAD",2000*75%,
IF(B38="ELAW",850*75%,
IF(B38="LAW",650*75%,
IF(B38="MAW",550*75%,
IF(B38="SAW",450*75%,
IF(B38="LPVC",450*75%,
IF(B38="MPVC",400*75%,
IF(B38="SPVC",350*75%,
IF(B38="SADLAW",2000*75%,
IF(B38="SADMAW",1900*75%,
IF(B38="SADSAW",1700*75%,0)))))))))))))))</f>
        <v/>
      </c>
      <c r="I38" s="103">
        <f>SUM(H38*F38)</f>
        <v/>
      </c>
      <c r="J38" s="104" t="n">
        <v>829.26</v>
      </c>
      <c r="K38" s="4" t="n"/>
      <c r="L38" s="4" t="n"/>
      <c r="M38" s="4">
        <f>IF(B38="CW",SUM(O38*850),0)</f>
        <v/>
      </c>
      <c r="N38" s="4">
        <f>IF(B38="CW",SUM(O38*150),0)</f>
        <v/>
      </c>
      <c r="O38" s="21">
        <f>(TRIM(LEFT(E38,FIND("x",E38)-1)) * TRIM(MID(E38,FIND("x",E38)+1,LEN(E38)))) / 1000000</f>
        <v/>
      </c>
      <c r="P38" s="4" t="n"/>
    </row>
    <row r="39">
      <c r="B39" s="4" t="inlineStr">
        <is>
          <t>LPVC</t>
        </is>
      </c>
      <c r="C39" s="98" t="inlineStr">
        <is>
          <t>WG-35 - uPVC win 2765x1460 - 2 top-hung openers + fixed; escape-capable</t>
        </is>
      </c>
      <c r="D39" s="99" t="n"/>
      <c r="E39" s="100" t="inlineStr">
        <is>
          <t>2765 x 1460</t>
        </is>
      </c>
      <c r="F39" s="101" t="n">
        <v>1</v>
      </c>
      <c r="G39" s="92" t="inlineStr">
        <is>
          <t>nr</t>
        </is>
      </c>
      <c r="H39" s="102">
        <f>IF(B39="CW",
M39,
J39+K39+L39+
IF(B39="SUPD",1000*75%,
IF(B39="DUPD",1500*75%,
IF(B39="SAD",1200*75%,
IF(B39="DAD",2000*75%,
IF(B39="ELAW",850*75%,
IF(B39="LAW",650*75%,
IF(B39="MAW",550*75%,
IF(B39="SAW",450*75%,
IF(B39="LPVC",450*75%,
IF(B39="MPVC",400*75%,
IF(B39="SPVC",350*75%,
IF(B39="SADLAW",2000*75%,
IF(B39="SADMAW",1900*75%,
IF(B39="SADSAW",1700*75%,0)))))))))))))))</f>
        <v/>
      </c>
      <c r="I39" s="103">
        <f>SUM(H39*F39)</f>
        <v/>
      </c>
      <c r="J39" s="104" t="n">
        <v>829.26</v>
      </c>
      <c r="K39" s="4" t="n"/>
      <c r="L39" s="4" t="n"/>
      <c r="M39" s="4">
        <f>IF(B39="CW",SUM(O39*850),0)</f>
        <v/>
      </c>
      <c r="N39" s="4">
        <f>IF(B39="CW",SUM(O39*150),0)</f>
        <v/>
      </c>
      <c r="O39" s="21">
        <f>(TRIM(LEFT(E39,FIND("x",E39)-1)) * TRIM(MID(E39,FIND("x",E39)+1,LEN(E39)))) / 1000000</f>
        <v/>
      </c>
      <c r="P39" s="4" t="n"/>
    </row>
    <row r="40">
      <c r="B40" s="4" t="inlineStr">
        <is>
          <t>LPVC</t>
        </is>
      </c>
      <c r="C40" s="98" t="inlineStr">
        <is>
          <t>WG-36 - uPVC win 2765x1460 - 2 top-hung openers + fixed; escape-capable</t>
        </is>
      </c>
      <c r="D40" s="99" t="n"/>
      <c r="E40" s="100" t="inlineStr">
        <is>
          <t>2765 x 1460</t>
        </is>
      </c>
      <c r="F40" s="101" t="n">
        <v>1</v>
      </c>
      <c r="G40" s="92" t="inlineStr">
        <is>
          <t>nr</t>
        </is>
      </c>
      <c r="H40" s="102">
        <f>IF(B40="CW",
M40,
J40+K40+L40+
IF(B40="SUPD",1000*75%,
IF(B40="DUPD",1500*75%,
IF(B40="SAD",1200*75%,
IF(B40="DAD",2000*75%,
IF(B40="ELAW",850*75%,
IF(B40="LAW",650*75%,
IF(B40="MAW",550*75%,
IF(B40="SAW",450*75%,
IF(B40="LPVC",450*75%,
IF(B40="MPVC",400*75%,
IF(B40="SPVC",350*75%,
IF(B40="SADLAW",2000*75%,
IF(B40="SADMAW",1900*75%,
IF(B40="SADSAW",1700*75%,0)))))))))))))))</f>
        <v/>
      </c>
      <c r="I40" s="103">
        <f>SUM(H40*F40)</f>
        <v/>
      </c>
      <c r="J40" s="104" t="n">
        <v>829.26</v>
      </c>
      <c r="K40" s="4" t="n"/>
      <c r="L40" s="4" t="n"/>
      <c r="M40" s="4">
        <f>IF(B40="CW",SUM(O40*850),0)</f>
        <v/>
      </c>
      <c r="N40" s="4">
        <f>IF(B40="CW",SUM(O40*150),0)</f>
        <v/>
      </c>
      <c r="O40" s="21">
        <f>(TRIM(LEFT(E40,FIND("x",E40)-1)) * TRIM(MID(E40,FIND("x",E40)+1,LEN(E40)))) / 1000000</f>
        <v/>
      </c>
      <c r="P40" s="4" t="n"/>
    </row>
    <row r="41">
      <c r="B41" s="4" t="inlineStr">
        <is>
          <t>LPVC</t>
        </is>
      </c>
      <c r="C41" s="98" t="inlineStr">
        <is>
          <t>WG-37 - uPVC win 2765x1460 - 2 top-hung openers + fixed; escape-capable</t>
        </is>
      </c>
      <c r="D41" s="99" t="n"/>
      <c r="E41" s="100" t="inlineStr">
        <is>
          <t>2765 x 1460</t>
        </is>
      </c>
      <c r="F41" s="101" t="n">
        <v>1</v>
      </c>
      <c r="G41" s="92" t="inlineStr">
        <is>
          <t>nr</t>
        </is>
      </c>
      <c r="H41" s="102">
        <f>IF(B41="CW",
M41,
J41+K41+L41+
IF(B41="SUPD",1000*75%,
IF(B41="DUPD",1500*75%,
IF(B41="SAD",1200*75%,
IF(B41="DAD",2000*75%,
IF(B41="ELAW",850*75%,
IF(B41="LAW",650*75%,
IF(B41="MAW",550*75%,
IF(B41="SAW",450*75%,
IF(B41="LPVC",450*75%,
IF(B41="MPVC",400*75%,
IF(B41="SPVC",350*75%,
IF(B41="SADLAW",2000*75%,
IF(B41="SADMAW",1900*75%,
IF(B41="SADSAW",1700*75%,0)))))))))))))))</f>
        <v/>
      </c>
      <c r="I41" s="103">
        <f>SUM(H41*F41)</f>
        <v/>
      </c>
      <c r="J41" s="104" t="n">
        <v>829.26</v>
      </c>
      <c r="K41" s="4" t="n"/>
      <c r="L41" s="4" t="n"/>
      <c r="M41" s="4">
        <f>IF(B41="CW",SUM(O41*850),0)</f>
        <v/>
      </c>
      <c r="N41" s="4">
        <f>IF(B41="CW",SUM(O41*150),0)</f>
        <v/>
      </c>
      <c r="O41" s="21">
        <f>(TRIM(LEFT(E41,FIND("x",E41)-1)) * TRIM(MID(E41,FIND("x",E41)+1,LEN(E41)))) / 1000000</f>
        <v/>
      </c>
      <c r="P41" s="4" t="n"/>
    </row>
    <row r="42">
      <c r="B42" s="4" t="inlineStr">
        <is>
          <t>LPVC</t>
        </is>
      </c>
      <c r="C42" s="98" t="inlineStr">
        <is>
          <t>WG-38 - uPVC win 2765x1460 - 2 top-hung openers + fixed; escape-capable</t>
        </is>
      </c>
      <c r="D42" s="99" t="n"/>
      <c r="E42" s="100" t="inlineStr">
        <is>
          <t>2765 x 1460</t>
        </is>
      </c>
      <c r="F42" s="101" t="n">
        <v>1</v>
      </c>
      <c r="G42" s="92" t="inlineStr">
        <is>
          <t>nr</t>
        </is>
      </c>
      <c r="H42" s="102">
        <f>IF(B42="CW",
M42,
J42+K42+L42+
IF(B42="SUPD",1000*75%,
IF(B42="DUPD",1500*75%,
IF(B42="SAD",1200*75%,
IF(B42="DAD",2000*75%,
IF(B42="ELAW",850*75%,
IF(B42="LAW",650*75%,
IF(B42="MAW",550*75%,
IF(B42="SAW",450*75%,
IF(B42="LPVC",450*75%,
IF(B42="MPVC",400*75%,
IF(B42="SPVC",350*75%,
IF(B42="SADLAW",2000*75%,
IF(B42="SADMAW",1900*75%,
IF(B42="SADSAW",1700*75%,0)))))))))))))))</f>
        <v/>
      </c>
      <c r="I42" s="103">
        <f>SUM(H42*F42)</f>
        <v/>
      </c>
      <c r="J42" s="104" t="n">
        <v>829.26</v>
      </c>
      <c r="K42" s="4" t="n"/>
      <c r="L42" s="4" t="n"/>
      <c r="M42" s="4">
        <f>IF(B42="CW",SUM(O42*850),0)</f>
        <v/>
      </c>
      <c r="N42" s="4">
        <f>IF(B42="CW",SUM(O42*150),0)</f>
        <v/>
      </c>
      <c r="O42" s="21">
        <f>(TRIM(LEFT(E42,FIND("x",E42)-1)) * TRIM(MID(E42,FIND("x",E42)+1,LEN(E42)))) / 1000000</f>
        <v/>
      </c>
      <c r="P42" s="4" t="n"/>
    </row>
    <row r="43">
      <c r="B43" s="4" t="inlineStr">
        <is>
          <t>LPVC</t>
        </is>
      </c>
      <c r="C43" s="98" t="inlineStr">
        <is>
          <t>WG-39 - uPVC win 2765x1460 - 2 top-hung openers + fixed; escape-capable</t>
        </is>
      </c>
      <c r="D43" s="99" t="n"/>
      <c r="E43" s="100" t="inlineStr">
        <is>
          <t>2765 x 1460</t>
        </is>
      </c>
      <c r="F43" s="101" t="n">
        <v>1</v>
      </c>
      <c r="G43" s="92" t="inlineStr">
        <is>
          <t>nr</t>
        </is>
      </c>
      <c r="H43" s="102">
        <f>IF(B43="CW",
M43,
J43+K43+L43+
IF(B43="SUPD",1000*75%,
IF(B43="DUPD",1500*75%,
IF(B43="SAD",1200*75%,
IF(B43="DAD",2000*75%,
IF(B43="ELAW",850*75%,
IF(B43="LAW",650*75%,
IF(B43="MAW",550*75%,
IF(B43="SAW",450*75%,
IF(B43="LPVC",450*75%,
IF(B43="MPVC",400*75%,
IF(B43="SPVC",350*75%,
IF(B43="SADLAW",2000*75%,
IF(B43="SADMAW",1900*75%,
IF(B43="SADSAW",1700*75%,0)))))))))))))))</f>
        <v/>
      </c>
      <c r="I43" s="103">
        <f>SUM(H43*F43)</f>
        <v/>
      </c>
      <c r="J43" s="104" t="n">
        <v>829.26</v>
      </c>
      <c r="K43" s="4" t="n"/>
      <c r="L43" s="4" t="n"/>
      <c r="M43" s="4">
        <f>IF(B43="CW",SUM(O43*850),0)</f>
        <v/>
      </c>
      <c r="N43" s="4">
        <f>IF(B43="CW",SUM(O43*150),0)</f>
        <v/>
      </c>
      <c r="O43" s="21">
        <f>(TRIM(LEFT(E43,FIND("x",E43)-1)) * TRIM(MID(E43,FIND("x",E43)+1,LEN(E43)))) / 1000000</f>
        <v/>
      </c>
      <c r="P43" s="4" t="n"/>
    </row>
    <row r="44">
      <c r="B44" s="4" t="inlineStr">
        <is>
          <t>LPVC</t>
        </is>
      </c>
      <c r="C44" s="98" t="inlineStr">
        <is>
          <t>WF-12 - uPVC win 2765x1460 - 2 top-hung openers + fixed; FIRST-FLOOR ESCAPE window - restrictor with override</t>
        </is>
      </c>
      <c r="D44" s="99" t="n"/>
      <c r="E44" s="100" t="inlineStr">
        <is>
          <t>2765 x 1460</t>
        </is>
      </c>
      <c r="F44" s="101" t="n">
        <v>1</v>
      </c>
      <c r="G44" s="92" t="inlineStr">
        <is>
          <t>nr</t>
        </is>
      </c>
      <c r="H44" s="102">
        <f>IF(B44="CW",
M44,
J44+K44+L44+
IF(B44="SUPD",1000*75%,
IF(B44="DUPD",1500*75%,
IF(B44="SAD",1200*75%,
IF(B44="DAD",2000*75%,
IF(B44="ELAW",850*75%,
IF(B44="LAW",650*75%,
IF(B44="MAW",550*75%,
IF(B44="SAW",450*75%,
IF(B44="LPVC",450*75%,
IF(B44="MPVC",400*75%,
IF(B44="SPVC",350*75%,
IF(B44="SADLAW",2000*75%,
IF(B44="SADMAW",1900*75%,
IF(B44="SADSAW",1700*75%,0)))))))))))))))</f>
        <v/>
      </c>
      <c r="I44" s="103">
        <f>SUM(H44*F44)</f>
        <v/>
      </c>
      <c r="J44" s="104" t="n">
        <v>829.26</v>
      </c>
      <c r="K44" s="4" t="n"/>
      <c r="L44" s="4" t="n"/>
      <c r="M44" s="4">
        <f>IF(B44="CW",SUM(O44*850),0)</f>
        <v/>
      </c>
      <c r="N44" s="4">
        <f>IF(B44="CW",SUM(O44*150),0)</f>
        <v/>
      </c>
      <c r="O44" s="21">
        <f>(TRIM(LEFT(E44,FIND("x",E44)-1)) * TRIM(MID(E44,FIND("x",E44)+1,LEN(E44)))) / 1000000</f>
        <v/>
      </c>
      <c r="P44" s="4" t="n"/>
    </row>
    <row r="45">
      <c r="B45" s="4" t="inlineStr">
        <is>
          <t>LPVC</t>
        </is>
      </c>
      <c r="C45" s="98" t="inlineStr">
        <is>
          <t>WF-13 - uPVC win 2765x1460 - 2 top-hung openers + fixed; FIRST-FLOOR ESCAPE window - restrictor with override</t>
        </is>
      </c>
      <c r="D45" s="99" t="n"/>
      <c r="E45" s="100" t="inlineStr">
        <is>
          <t>2765 x 1460</t>
        </is>
      </c>
      <c r="F45" s="101" t="n">
        <v>1</v>
      </c>
      <c r="G45" s="92" t="inlineStr">
        <is>
          <t>nr</t>
        </is>
      </c>
      <c r="H45" s="102">
        <f>IF(B45="CW",
M45,
J45+K45+L45+
IF(B45="SUPD",1000*75%,
IF(B45="DUPD",1500*75%,
IF(B45="SAD",1200*75%,
IF(B45="DAD",2000*75%,
IF(B45="ELAW",850*75%,
IF(B45="LAW",650*75%,
IF(B45="MAW",550*75%,
IF(B45="SAW",450*75%,
IF(B45="LPVC",450*75%,
IF(B45="MPVC",400*75%,
IF(B45="SPVC",350*75%,
IF(B45="SADLAW",2000*75%,
IF(B45="SADMAW",1900*75%,
IF(B45="SADSAW",1700*75%,0)))))))))))))))</f>
        <v/>
      </c>
      <c r="I45" s="103">
        <f>SUM(H45*F45)</f>
        <v/>
      </c>
      <c r="J45" s="104" t="n">
        <v>829.26</v>
      </c>
      <c r="K45" s="4" t="n"/>
      <c r="L45" s="4" t="n"/>
      <c r="M45" s="4">
        <f>IF(B45="CW",SUM(O45*850),0)</f>
        <v/>
      </c>
      <c r="N45" s="4">
        <f>IF(B45="CW",SUM(O45*150),0)</f>
        <v/>
      </c>
      <c r="O45" s="21">
        <f>(TRIM(LEFT(E45,FIND("x",E45)-1)) * TRIM(MID(E45,FIND("x",E45)+1,LEN(E45)))) / 1000000</f>
        <v/>
      </c>
      <c r="P45" s="4" t="n"/>
    </row>
    <row r="46">
      <c r="B46" s="4" t="inlineStr">
        <is>
          <t>LPVC</t>
        </is>
      </c>
      <c r="C46" s="98" t="inlineStr">
        <is>
          <t>WF-14 - uPVC win 2765x1460 - 2 top-hung openers + fixed; FIRST-FLOOR ESCAPE window - restrictor with override</t>
        </is>
      </c>
      <c r="D46" s="99" t="n"/>
      <c r="E46" s="100" t="inlineStr">
        <is>
          <t>2765 x 1460</t>
        </is>
      </c>
      <c r="F46" s="101" t="n">
        <v>1</v>
      </c>
      <c r="G46" s="92" t="inlineStr">
        <is>
          <t>nr</t>
        </is>
      </c>
      <c r="H46" s="102">
        <f>IF(B46="CW",
M46,
J46+K46+L46+
IF(B46="SUPD",1000*75%,
IF(B46="DUPD",1500*75%,
IF(B46="SAD",1200*75%,
IF(B46="DAD",2000*75%,
IF(B46="ELAW",850*75%,
IF(B46="LAW",650*75%,
IF(B46="MAW",550*75%,
IF(B46="SAW",450*75%,
IF(B46="LPVC",450*75%,
IF(B46="MPVC",400*75%,
IF(B46="SPVC",350*75%,
IF(B46="SADLAW",2000*75%,
IF(B46="SADMAW",1900*75%,
IF(B46="SADSAW",1700*75%,0)))))))))))))))</f>
        <v/>
      </c>
      <c r="I46" s="103">
        <f>SUM(H46*F46)</f>
        <v/>
      </c>
      <c r="J46" s="104" t="n">
        <v>829.26</v>
      </c>
      <c r="K46" s="4" t="n"/>
      <c r="L46" s="4" t="n"/>
      <c r="M46" s="4">
        <f>IF(B46="CW",SUM(O46*850),0)</f>
        <v/>
      </c>
      <c r="N46" s="4">
        <f>IF(B46="CW",SUM(O46*150),0)</f>
        <v/>
      </c>
      <c r="O46" s="21">
        <f>(TRIM(LEFT(E46,FIND("x",E46)-1)) * TRIM(MID(E46,FIND("x",E46)+1,LEN(E46)))) / 1000000</f>
        <v/>
      </c>
      <c r="P46" s="4" t="n"/>
    </row>
    <row r="47">
      <c r="B47" s="4" t="inlineStr">
        <is>
          <t>LPVC</t>
        </is>
      </c>
      <c r="C47" s="98" t="inlineStr">
        <is>
          <t>WF-15 - uPVC win 2765x1460 - 2 top-hung openers + fixed; FIRST-FLOOR ESCAPE window - restrictor with override</t>
        </is>
      </c>
      <c r="D47" s="99" t="n"/>
      <c r="E47" s="100" t="inlineStr">
        <is>
          <t>2765 x 1460</t>
        </is>
      </c>
      <c r="F47" s="101" t="n">
        <v>1</v>
      </c>
      <c r="G47" s="92" t="inlineStr">
        <is>
          <t>nr</t>
        </is>
      </c>
      <c r="H47" s="102">
        <f>IF(B47="CW",
M47,
J47+K47+L47+
IF(B47="SUPD",1000*75%,
IF(B47="DUPD",1500*75%,
IF(B47="SAD",1200*75%,
IF(B47="DAD",2000*75%,
IF(B47="ELAW",850*75%,
IF(B47="LAW",650*75%,
IF(B47="MAW",550*75%,
IF(B47="SAW",450*75%,
IF(B47="LPVC",450*75%,
IF(B47="MPVC",400*75%,
IF(B47="SPVC",350*75%,
IF(B47="SADLAW",2000*75%,
IF(B47="SADMAW",1900*75%,
IF(B47="SADSAW",1700*75%,0)))))))))))))))</f>
        <v/>
      </c>
      <c r="I47" s="103">
        <f>SUM(H47*F47)</f>
        <v/>
      </c>
      <c r="J47" s="104" t="n">
        <v>829.26</v>
      </c>
      <c r="K47" s="4" t="n"/>
      <c r="L47" s="4" t="n"/>
      <c r="M47" s="4">
        <f>IF(B47="CW",SUM(O47*850),0)</f>
        <v/>
      </c>
      <c r="N47" s="4">
        <f>IF(B47="CW",SUM(O47*150),0)</f>
        <v/>
      </c>
      <c r="O47" s="21">
        <f>(TRIM(LEFT(E47,FIND("x",E47)-1)) * TRIM(MID(E47,FIND("x",E47)+1,LEN(E47)))) / 1000000</f>
        <v/>
      </c>
      <c r="P47" s="4" t="n"/>
    </row>
    <row r="48">
      <c r="B48" s="4" t="inlineStr">
        <is>
          <t>LPVC</t>
        </is>
      </c>
      <c r="C48" s="98" t="inlineStr">
        <is>
          <t>WF-16 - uPVC win 2765x1460 - 2 top-hung openers + fixed; FIRST-FLOOR ESCAPE window - restrictor with override</t>
        </is>
      </c>
      <c r="D48" s="99" t="n"/>
      <c r="E48" s="100" t="inlineStr">
        <is>
          <t>2765 x 1460</t>
        </is>
      </c>
      <c r="F48" s="101" t="n">
        <v>1</v>
      </c>
      <c r="G48" s="92" t="inlineStr">
        <is>
          <t>nr</t>
        </is>
      </c>
      <c r="H48" s="102">
        <f>IF(B48="CW",
M48,
J48+K48+L48+
IF(B48="SUPD",1000*75%,
IF(B48="DUPD",1500*75%,
IF(B48="SAD",1200*75%,
IF(B48="DAD",2000*75%,
IF(B48="ELAW",850*75%,
IF(B48="LAW",650*75%,
IF(B48="MAW",550*75%,
IF(B48="SAW",450*75%,
IF(B48="LPVC",450*75%,
IF(B48="MPVC",400*75%,
IF(B48="SPVC",350*75%,
IF(B48="SADLAW",2000*75%,
IF(B48="SADMAW",1900*75%,
IF(B48="SADSAW",1700*75%,0)))))))))))))))</f>
        <v/>
      </c>
      <c r="I48" s="103">
        <f>SUM(H48*F48)</f>
        <v/>
      </c>
      <c r="J48" s="104" t="n">
        <v>829.26</v>
      </c>
      <c r="K48" s="4" t="n"/>
      <c r="L48" s="4" t="n"/>
      <c r="M48" s="4">
        <f>IF(B48="CW",SUM(O48*850),0)</f>
        <v/>
      </c>
      <c r="N48" s="4">
        <f>IF(B48="CW",SUM(O48*150),0)</f>
        <v/>
      </c>
      <c r="O48" s="21">
        <f>(TRIM(LEFT(E48,FIND("x",E48)-1)) * TRIM(MID(E48,FIND("x",E48)+1,LEN(E48)))) / 1000000</f>
        <v/>
      </c>
      <c r="P48" s="4" t="n"/>
    </row>
    <row r="49">
      <c r="B49" s="4" t="inlineStr">
        <is>
          <t>LPVC</t>
        </is>
      </c>
      <c r="C49" s="98" t="inlineStr">
        <is>
          <t>WF-17 - uPVC win 2765x1460 - 2 top-hung openers + fixed; FIRST-FLOOR ESCAPE window - restrictor with override</t>
        </is>
      </c>
      <c r="D49" s="99" t="n"/>
      <c r="E49" s="100" t="inlineStr">
        <is>
          <t>2765 x 1460</t>
        </is>
      </c>
      <c r="F49" s="101" t="n">
        <v>1</v>
      </c>
      <c r="G49" s="92" t="inlineStr">
        <is>
          <t>nr</t>
        </is>
      </c>
      <c r="H49" s="102">
        <f>IF(B49="CW",
M49,
J49+K49+L49+
IF(B49="SUPD",1000*75%,
IF(B49="DUPD",1500*75%,
IF(B49="SAD",1200*75%,
IF(B49="DAD",2000*75%,
IF(B49="ELAW",850*75%,
IF(B49="LAW",650*75%,
IF(B49="MAW",550*75%,
IF(B49="SAW",450*75%,
IF(B49="LPVC",450*75%,
IF(B49="MPVC",400*75%,
IF(B49="SPVC",350*75%,
IF(B49="SADLAW",2000*75%,
IF(B49="SADMAW",1900*75%,
IF(B49="SADSAW",1700*75%,0)))))))))))))))</f>
        <v/>
      </c>
      <c r="I49" s="103">
        <f>SUM(H49*F49)</f>
        <v/>
      </c>
      <c r="J49" s="104" t="n">
        <v>829.26</v>
      </c>
      <c r="K49" s="4" t="n"/>
      <c r="L49" s="4" t="n"/>
      <c r="M49" s="4">
        <f>IF(B49="CW",SUM(O49*850),0)</f>
        <v/>
      </c>
      <c r="N49" s="4">
        <f>IF(B49="CW",SUM(O49*150),0)</f>
        <v/>
      </c>
      <c r="O49" s="21">
        <f>(TRIM(LEFT(E49,FIND("x",E49)-1)) * TRIM(MID(E49,FIND("x",E49)+1,LEN(E49)))) / 1000000</f>
        <v/>
      </c>
      <c r="P49" s="4" t="n"/>
    </row>
    <row r="50">
      <c r="B50" s="4" t="inlineStr">
        <is>
          <t>MPVC</t>
        </is>
      </c>
      <c r="C50" s="98" t="inlineStr">
        <is>
          <t>WG-40 - uPVC win 1360x1460 - 2 top-hung openers over fixed</t>
        </is>
      </c>
      <c r="D50" s="99" t="n"/>
      <c r="E50" s="100" t="inlineStr">
        <is>
          <t>1360 x 1460</t>
        </is>
      </c>
      <c r="F50" s="101" t="n">
        <v>1</v>
      </c>
      <c r="G50" s="92" t="inlineStr">
        <is>
          <t>nr</t>
        </is>
      </c>
      <c r="H50" s="102">
        <f>IF(B50="CW",
M50,
J50+K50+L50+
IF(B50="SUPD",1000*75%,
IF(B50="DUPD",1500*75%,
IF(B50="SAD",1200*75%,
IF(B50="DAD",2000*75%,
IF(B50="ELAW",850*75%,
IF(B50="LAW",650*75%,
IF(B50="MAW",550*75%,
IF(B50="SAW",450*75%,
IF(B50="LPVC",450*75%,
IF(B50="MPVC",400*75%,
IF(B50="SPVC",350*75%,
IF(B50="SADLAW",2000*75%,
IF(B50="SADMAW",1900*75%,
IF(B50="SADSAW",1700*75%,0)))))))))))))))</f>
        <v/>
      </c>
      <c r="I50" s="103">
        <f>SUM(H50*F50)</f>
        <v/>
      </c>
      <c r="J50" s="104" t="n">
        <v>489.52</v>
      </c>
      <c r="K50" s="4" t="n"/>
      <c r="L50" s="4" t="n"/>
      <c r="M50" s="4">
        <f>IF(B50="CW",SUM(O50*850),0)</f>
        <v/>
      </c>
      <c r="N50" s="4">
        <f>IF(B50="CW",SUM(O50*150),0)</f>
        <v/>
      </c>
      <c r="O50" s="21">
        <f>(TRIM(LEFT(E50,FIND("x",E50)-1)) * TRIM(MID(E50,FIND("x",E50)+1,LEN(E50)))) / 1000000</f>
        <v/>
      </c>
      <c r="P50" s="4" t="n"/>
    </row>
    <row r="51">
      <c r="B51" s="4" t="inlineStr">
        <is>
          <t>MPVC</t>
        </is>
      </c>
      <c r="C51" s="98" t="inlineStr">
        <is>
          <t>WF-18 - uPVC win 1360x1460 - 2 top-hung openers over fixed; escape window</t>
        </is>
      </c>
      <c r="D51" s="99" t="n"/>
      <c r="E51" s="100" t="inlineStr">
        <is>
          <t>1360 x 1460</t>
        </is>
      </c>
      <c r="F51" s="101" t="n">
        <v>1</v>
      </c>
      <c r="G51" s="92" t="inlineStr">
        <is>
          <t>nr</t>
        </is>
      </c>
      <c r="H51" s="102">
        <f>IF(B51="CW",
M51,
J51+K51+L51+
IF(B51="SUPD",1000*75%,
IF(B51="DUPD",1500*75%,
IF(B51="SAD",1200*75%,
IF(B51="DAD",2000*75%,
IF(B51="ELAW",850*75%,
IF(B51="LAW",650*75%,
IF(B51="MAW",550*75%,
IF(B51="SAW",450*75%,
IF(B51="LPVC",450*75%,
IF(B51="MPVC",400*75%,
IF(B51="SPVC",350*75%,
IF(B51="SADLAW",2000*75%,
IF(B51="SADMAW",1900*75%,
IF(B51="SADSAW",1700*75%,0)))))))))))))))</f>
        <v/>
      </c>
      <c r="I51" s="103">
        <f>SUM(H51*F51)</f>
        <v/>
      </c>
      <c r="J51" s="104" t="n">
        <v>489.52</v>
      </c>
      <c r="K51" s="4" t="n"/>
      <c r="L51" s="4" t="n"/>
      <c r="M51" s="4">
        <f>IF(B51="CW",SUM(O51*850),0)</f>
        <v/>
      </c>
      <c r="N51" s="4">
        <f>IF(B51="CW",SUM(O51*150),0)</f>
        <v/>
      </c>
      <c r="O51" s="21">
        <f>(TRIM(LEFT(E51,FIND("x",E51)-1)) * TRIM(MID(E51,FIND("x",E51)+1,LEN(E51)))) / 1000000</f>
        <v/>
      </c>
      <c r="P51" s="4" t="n"/>
    </row>
    <row r="52">
      <c r="B52" s="4" t="inlineStr">
        <is>
          <t>MPVC</t>
        </is>
      </c>
      <c r="C52" s="98" t="inlineStr">
        <is>
          <t>WG-43 - uPVC win 1484x1460 - 2 openers over fixed</t>
        </is>
      </c>
      <c r="D52" s="99" t="n"/>
      <c r="E52" s="100" t="inlineStr">
        <is>
          <t>1484 x 1460</t>
        </is>
      </c>
      <c r="F52" s="101" t="n">
        <v>1</v>
      </c>
      <c r="G52" s="92" t="inlineStr">
        <is>
          <t>nr</t>
        </is>
      </c>
      <c r="H52" s="102">
        <f>IF(B52="CW",
M52,
J52+K52+L52+
IF(B52="SUPD",1000*75%,
IF(B52="DUPD",1500*75%,
IF(B52="SAD",1200*75%,
IF(B52="DAD",2000*75%,
IF(B52="ELAW",850*75%,
IF(B52="LAW",650*75%,
IF(B52="MAW",550*75%,
IF(B52="SAW",450*75%,
IF(B52="LPVC",450*75%,
IF(B52="MPVC",400*75%,
IF(B52="SPVC",350*75%,
IF(B52="SADLAW",2000*75%,
IF(B52="SADMAW",1900*75%,
IF(B52="SADSAW",1700*75%,0)))))))))))))))</f>
        <v/>
      </c>
      <c r="I52" s="103">
        <f>SUM(H52*F52)</f>
        <v/>
      </c>
      <c r="J52" s="104" t="n">
        <v>527.77</v>
      </c>
      <c r="K52" s="4" t="n"/>
      <c r="L52" s="4" t="n"/>
      <c r="M52" s="4">
        <f>IF(B52="CW",SUM(O52*850),0)</f>
        <v/>
      </c>
      <c r="N52" s="4">
        <f>IF(B52="CW",SUM(O52*150),0)</f>
        <v/>
      </c>
      <c r="O52" s="21">
        <f>(TRIM(LEFT(E52,FIND("x",E52)-1)) * TRIM(MID(E52,FIND("x",E52)+1,LEN(E52)))) / 1000000</f>
        <v/>
      </c>
      <c r="P52" s="4" t="n"/>
    </row>
    <row r="53">
      <c r="B53" s="4" t="inlineStr">
        <is>
          <t>MPVC</t>
        </is>
      </c>
      <c r="C53" s="98" t="inlineStr">
        <is>
          <t>WG-45 - uPVC win 1484x1460 - 2 openers over fixed</t>
        </is>
      </c>
      <c r="D53" s="99" t="n"/>
      <c r="E53" s="100" t="inlineStr">
        <is>
          <t>1484 x 1460</t>
        </is>
      </c>
      <c r="F53" s="101" t="n">
        <v>1</v>
      </c>
      <c r="G53" s="92" t="inlineStr">
        <is>
          <t>nr</t>
        </is>
      </c>
      <c r="H53" s="102">
        <f>IF(B53="CW",
M53,
J53+K53+L53+
IF(B53="SUPD",1000*75%,
IF(B53="DUPD",1500*75%,
IF(B53="SAD",1200*75%,
IF(B53="DAD",2000*75%,
IF(B53="ELAW",850*75%,
IF(B53="LAW",650*75%,
IF(B53="MAW",550*75%,
IF(B53="SAW",450*75%,
IF(B53="LPVC",450*75%,
IF(B53="MPVC",400*75%,
IF(B53="SPVC",350*75%,
IF(B53="SADLAW",2000*75%,
IF(B53="SADMAW",1900*75%,
IF(B53="SADSAW",1700*75%,0)))))))))))))))</f>
        <v/>
      </c>
      <c r="I53" s="103">
        <f>SUM(H53*F53)</f>
        <v/>
      </c>
      <c r="J53" s="104" t="n">
        <v>527.77</v>
      </c>
      <c r="K53" s="4" t="n"/>
      <c r="L53" s="4" t="n"/>
      <c r="M53" s="4">
        <f>IF(B53="CW",SUM(O53*850),0)</f>
        <v/>
      </c>
      <c r="N53" s="4">
        <f>IF(B53="CW",SUM(O53*150),0)</f>
        <v/>
      </c>
      <c r="O53" s="21">
        <f>(TRIM(LEFT(E53,FIND("x",E53)-1)) * TRIM(MID(E53,FIND("x",E53)+1,LEN(E53)))) / 1000000</f>
        <v/>
      </c>
      <c r="P53" s="4" t="n"/>
    </row>
    <row r="54">
      <c r="B54" s="4" t="inlineStr">
        <is>
          <t>MPVC</t>
        </is>
      </c>
      <c r="C54" s="98" t="inlineStr">
        <is>
          <t>WG-46 - uPVC win 1484x1460 - 2 openers over fixed</t>
        </is>
      </c>
      <c r="D54" s="99" t="n"/>
      <c r="E54" s="100" t="inlineStr">
        <is>
          <t>1484 x 1460</t>
        </is>
      </c>
      <c r="F54" s="101" t="n">
        <v>1</v>
      </c>
      <c r="G54" s="92" t="inlineStr">
        <is>
          <t>nr</t>
        </is>
      </c>
      <c r="H54" s="102">
        <f>IF(B54="CW",
M54,
J54+K54+L54+
IF(B54="SUPD",1000*75%,
IF(B54="DUPD",1500*75%,
IF(B54="SAD",1200*75%,
IF(B54="DAD",2000*75%,
IF(B54="ELAW",850*75%,
IF(B54="LAW",650*75%,
IF(B54="MAW",550*75%,
IF(B54="SAW",450*75%,
IF(B54="LPVC",450*75%,
IF(B54="MPVC",400*75%,
IF(B54="SPVC",350*75%,
IF(B54="SADLAW",2000*75%,
IF(B54="SADMAW",1900*75%,
IF(B54="SADSAW",1700*75%,0)))))))))))))))</f>
        <v/>
      </c>
      <c r="I54" s="103">
        <f>SUM(H54*F54)</f>
        <v/>
      </c>
      <c r="J54" s="104" t="n">
        <v>527.77</v>
      </c>
      <c r="K54" s="4" t="n"/>
      <c r="L54" s="4" t="n"/>
      <c r="M54" s="4">
        <f>IF(B54="CW",SUM(O54*850),0)</f>
        <v/>
      </c>
      <c r="N54" s="4">
        <f>IF(B54="CW",SUM(O54*150),0)</f>
        <v/>
      </c>
      <c r="O54" s="21">
        <f>(TRIM(LEFT(E54,FIND("x",E54)-1)) * TRIM(MID(E54,FIND("x",E54)+1,LEN(E54)))) / 1000000</f>
        <v/>
      </c>
      <c r="P54" s="4" t="n"/>
    </row>
    <row r="55">
      <c r="B55" s="4" t="inlineStr">
        <is>
          <t>MPVC</t>
        </is>
      </c>
      <c r="C55" s="98" t="inlineStr">
        <is>
          <t>WG-47 - uPVC win 1484x1460 - 2 openers over fixed</t>
        </is>
      </c>
      <c r="D55" s="99" t="n"/>
      <c r="E55" s="100" t="inlineStr">
        <is>
          <t>1484 x 1460</t>
        </is>
      </c>
      <c r="F55" s="101" t="n">
        <v>1</v>
      </c>
      <c r="G55" s="92" t="inlineStr">
        <is>
          <t>nr</t>
        </is>
      </c>
      <c r="H55" s="102">
        <f>IF(B55="CW",
M55,
J55+K55+L55+
IF(B55="SUPD",1000*75%,
IF(B55="DUPD",1500*75%,
IF(B55="SAD",1200*75%,
IF(B55="DAD",2000*75%,
IF(B55="ELAW",850*75%,
IF(B55="LAW",650*75%,
IF(B55="MAW",550*75%,
IF(B55="SAW",450*75%,
IF(B55="LPVC",450*75%,
IF(B55="MPVC",400*75%,
IF(B55="SPVC",350*75%,
IF(B55="SADLAW",2000*75%,
IF(B55="SADMAW",1900*75%,
IF(B55="SADSAW",1700*75%,0)))))))))))))))</f>
        <v/>
      </c>
      <c r="I55" s="103">
        <f>SUM(H55*F55)</f>
        <v/>
      </c>
      <c r="J55" s="104" t="n">
        <v>527.77</v>
      </c>
      <c r="K55" s="4" t="n"/>
      <c r="L55" s="4" t="n"/>
      <c r="M55" s="4">
        <f>IF(B55="CW",SUM(O55*850),0)</f>
        <v/>
      </c>
      <c r="N55" s="4">
        <f>IF(B55="CW",SUM(O55*150),0)</f>
        <v/>
      </c>
      <c r="O55" s="21">
        <f>(TRIM(LEFT(E55,FIND("x",E55)-1)) * TRIM(MID(E55,FIND("x",E55)+1,LEN(E55)))) / 1000000</f>
        <v/>
      </c>
      <c r="P55" s="4" t="n"/>
    </row>
    <row r="56">
      <c r="B56" s="4" t="inlineStr">
        <is>
          <t>MPVC</t>
        </is>
      </c>
      <c r="C56" s="98" t="inlineStr">
        <is>
          <t>WG-48 - uPVC win 1484x1460 - 2 openers over fixed</t>
        </is>
      </c>
      <c r="D56" s="99" t="n"/>
      <c r="E56" s="100" t="inlineStr">
        <is>
          <t>1484 x 1460</t>
        </is>
      </c>
      <c r="F56" s="101" t="n">
        <v>1</v>
      </c>
      <c r="G56" s="92" t="inlineStr">
        <is>
          <t>nr</t>
        </is>
      </c>
      <c r="H56" s="102">
        <f>IF(B56="CW",
M56,
J56+K56+L56+
IF(B56="SUPD",1000*75%,
IF(B56="DUPD",1500*75%,
IF(B56="SAD",1200*75%,
IF(B56="DAD",2000*75%,
IF(B56="ELAW",850*75%,
IF(B56="LAW",650*75%,
IF(B56="MAW",550*75%,
IF(B56="SAW",450*75%,
IF(B56="LPVC",450*75%,
IF(B56="MPVC",400*75%,
IF(B56="SPVC",350*75%,
IF(B56="SADLAW",2000*75%,
IF(B56="SADMAW",1900*75%,
IF(B56="SADSAW",1700*75%,0)))))))))))))))</f>
        <v/>
      </c>
      <c r="I56" s="103">
        <f>SUM(H56*F56)</f>
        <v/>
      </c>
      <c r="J56" s="104" t="n">
        <v>527.77</v>
      </c>
      <c r="K56" s="4" t="n"/>
      <c r="L56" s="4" t="n"/>
      <c r="M56" s="4">
        <f>IF(B56="CW",SUM(O56*850),0)</f>
        <v/>
      </c>
      <c r="N56" s="4">
        <f>IF(B56="CW",SUM(O56*150),0)</f>
        <v/>
      </c>
      <c r="O56" s="21">
        <f>(TRIM(LEFT(E56,FIND("x",E56)-1)) * TRIM(MID(E56,FIND("x",E56)+1,LEN(E56)))) / 1000000</f>
        <v/>
      </c>
      <c r="P56" s="4" t="n"/>
    </row>
    <row r="57">
      <c r="B57" s="4" t="inlineStr">
        <is>
          <t>LPVC</t>
        </is>
      </c>
      <c r="C57" s="98" t="inlineStr">
        <is>
          <t>WG-49 - uPVC win 2238x1460 - Openers + fixed; 950mm cladding panel below</t>
        </is>
      </c>
      <c r="D57" s="99" t="n"/>
      <c r="E57" s="100" t="inlineStr">
        <is>
          <t>2238 x 1460</t>
        </is>
      </c>
      <c r="F57" s="101" t="n">
        <v>1</v>
      </c>
      <c r="G57" s="92" t="inlineStr">
        <is>
          <t>nr</t>
        </is>
      </c>
      <c r="H57" s="102">
        <f>IF(B57="CW",
M57,
J57+K57+L57+
IF(B57="SUPD",1000*75%,
IF(B57="DUPD",1500*75%,
IF(B57="SAD",1200*75%,
IF(B57="DAD",2000*75%,
IF(B57="ELAW",850*75%,
IF(B57="LAW",650*75%,
IF(B57="MAW",550*75%,
IF(B57="SAW",450*75%,
IF(B57="LPVC",450*75%,
IF(B57="MPVC",400*75%,
IF(B57="SPVC",350*75%,
IF(B57="SADLAW",2000*75%,
IF(B57="SADMAW",1900*75%,
IF(B57="SADSAW",1700*75%,0)))))))))))))))</f>
        <v/>
      </c>
      <c r="I57" s="103">
        <f>SUM(H57*F57)</f>
        <v/>
      </c>
      <c r="J57" s="104" t="n">
        <v>684.55</v>
      </c>
      <c r="K57" s="4" t="n"/>
      <c r="L57" s="4" t="n"/>
      <c r="M57" s="4">
        <f>IF(B57="CW",SUM(O57*850),0)</f>
        <v/>
      </c>
      <c r="N57" s="4">
        <f>IF(B57="CW",SUM(O57*150),0)</f>
        <v/>
      </c>
      <c r="O57" s="21">
        <f>(TRIM(LEFT(E57,FIND("x",E57)-1)) * TRIM(MID(E57,FIND("x",E57)+1,LEN(E57)))) / 1000000</f>
        <v/>
      </c>
      <c r="P57" s="4" t="n"/>
    </row>
    <row r="58">
      <c r="B58" s="4" t="inlineStr">
        <is>
          <t>LPVC</t>
        </is>
      </c>
      <c r="C58" s="98" t="inlineStr">
        <is>
          <t>WG-50 - uPVC win 2238x1460 - Openers + fixed; 950mm cladding panel below</t>
        </is>
      </c>
      <c r="D58" s="99" t="n"/>
      <c r="E58" s="100" t="inlineStr">
        <is>
          <t>2238 x 1460</t>
        </is>
      </c>
      <c r="F58" s="101" t="n">
        <v>1</v>
      </c>
      <c r="G58" s="92" t="inlineStr">
        <is>
          <t>nr</t>
        </is>
      </c>
      <c r="H58" s="102">
        <f>IF(B58="CW",
M58,
J58+K58+L58+
IF(B58="SUPD",1000*75%,
IF(B58="DUPD",1500*75%,
IF(B58="SAD",1200*75%,
IF(B58="DAD",2000*75%,
IF(B58="ELAW",850*75%,
IF(B58="LAW",650*75%,
IF(B58="MAW",550*75%,
IF(B58="SAW",450*75%,
IF(B58="LPVC",450*75%,
IF(B58="MPVC",400*75%,
IF(B58="SPVC",350*75%,
IF(B58="SADLAW",2000*75%,
IF(B58="SADMAW",1900*75%,
IF(B58="SADSAW",1700*75%,0)))))))))))))))</f>
        <v/>
      </c>
      <c r="I58" s="103">
        <f>SUM(H58*F58)</f>
        <v/>
      </c>
      <c r="J58" s="104" t="n">
        <v>684.55</v>
      </c>
      <c r="K58" s="4" t="n"/>
      <c r="L58" s="4" t="n"/>
      <c r="M58" s="4">
        <f>IF(B58="CW",SUM(O58*850),0)</f>
        <v/>
      </c>
      <c r="N58" s="4">
        <f>IF(B58="CW",SUM(O58*150),0)</f>
        <v/>
      </c>
      <c r="O58" s="21">
        <f>(TRIM(LEFT(E58,FIND("x",E58)-1)) * TRIM(MID(E58,FIND("x",E58)+1,LEN(E58)))) / 1000000</f>
        <v/>
      </c>
      <c r="P58" s="4" t="n"/>
    </row>
    <row r="59">
      <c r="B59" s="4" t="inlineStr">
        <is>
          <t>MPVC</t>
        </is>
      </c>
      <c r="C59" s="98" t="inlineStr">
        <is>
          <t>WF-21 - uPVC win 1455x1130 - Opener + fixed; escape window with restrictor override</t>
        </is>
      </c>
      <c r="D59" s="99" t="n"/>
      <c r="E59" s="100" t="inlineStr">
        <is>
          <t>1455 x 1130</t>
        </is>
      </c>
      <c r="F59" s="101" t="n">
        <v>1</v>
      </c>
      <c r="G59" s="92" t="inlineStr">
        <is>
          <t>nr</t>
        </is>
      </c>
      <c r="H59" s="102">
        <f>IF(B59="CW",
M59,
J59+K59+L59+
IF(B59="SUPD",1000*75%,
IF(B59="DUPD",1500*75%,
IF(B59="SAD",1200*75%,
IF(B59="DAD",2000*75%,
IF(B59="ELAW",850*75%,
IF(B59="LAW",650*75%,
IF(B59="MAW",550*75%,
IF(B59="SAW",450*75%,
IF(B59="LPVC",450*75%,
IF(B59="MPVC",400*75%,
IF(B59="SPVC",350*75%,
IF(B59="SADLAW",2000*75%,
IF(B59="SADMAW",1900*75%,
IF(B59="SADSAW",1700*75%,0)))))))))))))))</f>
        <v/>
      </c>
      <c r="I59" s="103">
        <f>SUM(H59*F59)</f>
        <v/>
      </c>
      <c r="J59" s="104" t="n">
        <v>417.38</v>
      </c>
      <c r="K59" s="4" t="n"/>
      <c r="L59" s="4" t="n"/>
      <c r="M59" s="4">
        <f>IF(B59="CW",SUM(O59*850),0)</f>
        <v/>
      </c>
      <c r="N59" s="4">
        <f>IF(B59="CW",SUM(O59*150),0)</f>
        <v/>
      </c>
      <c r="O59" s="21">
        <f>(TRIM(LEFT(E59,FIND("x",E59)-1)) * TRIM(MID(E59,FIND("x",E59)+1,LEN(E59)))) / 1000000</f>
        <v/>
      </c>
      <c r="P59" s="4" t="n"/>
    </row>
    <row r="60">
      <c r="B60" s="4" t="inlineStr">
        <is>
          <t>MPVC</t>
        </is>
      </c>
      <c r="C60" s="98" t="inlineStr">
        <is>
          <t>WF-23 - uPVC win 1455x1130 - Opener + fixed; escape window with restrictor override</t>
        </is>
      </c>
      <c r="D60" s="99" t="n"/>
      <c r="E60" s="100" t="inlineStr">
        <is>
          <t>1455 x 1130</t>
        </is>
      </c>
      <c r="F60" s="101" t="n">
        <v>1</v>
      </c>
      <c r="G60" s="92" t="inlineStr">
        <is>
          <t>nr</t>
        </is>
      </c>
      <c r="H60" s="102">
        <f>IF(B60="CW",
M60,
J60+K60+L60+
IF(B60="SUPD",1000*75%,
IF(B60="DUPD",1500*75%,
IF(B60="SAD",1200*75%,
IF(B60="DAD",2000*75%,
IF(B60="ELAW",850*75%,
IF(B60="LAW",650*75%,
IF(B60="MAW",550*75%,
IF(B60="SAW",450*75%,
IF(B60="LPVC",450*75%,
IF(B60="MPVC",400*75%,
IF(B60="SPVC",350*75%,
IF(B60="SADLAW",2000*75%,
IF(B60="SADMAW",1900*75%,
IF(B60="SADSAW",1700*75%,0)))))))))))))))</f>
        <v/>
      </c>
      <c r="I60" s="103">
        <f>SUM(H60*F60)</f>
        <v/>
      </c>
      <c r="J60" s="104" t="n">
        <v>417.38</v>
      </c>
      <c r="K60" s="4" t="n"/>
      <c r="L60" s="4" t="n"/>
      <c r="M60" s="4">
        <f>IF(B60="CW",SUM(O60*850),0)</f>
        <v/>
      </c>
      <c r="N60" s="4">
        <f>IF(B60="CW",SUM(O60*150),0)</f>
        <v/>
      </c>
      <c r="O60" s="21">
        <f>(TRIM(LEFT(E60,FIND("x",E60)-1)) * TRIM(MID(E60,FIND("x",E60)+1,LEN(E60)))) / 1000000</f>
        <v/>
      </c>
      <c r="P60" s="4" t="n"/>
    </row>
    <row r="61">
      <c r="B61" s="4" t="inlineStr">
        <is>
          <t>MPVC</t>
        </is>
      </c>
      <c r="C61" s="98" t="inlineStr">
        <is>
          <t>WF-24 - uPVC win 1455x1130 - Opener + fixed; escape window with restrictor override</t>
        </is>
      </c>
      <c r="D61" s="99" t="n"/>
      <c r="E61" s="100" t="inlineStr">
        <is>
          <t>1455 x 1130</t>
        </is>
      </c>
      <c r="F61" s="101" t="n">
        <v>1</v>
      </c>
      <c r="G61" s="92" t="inlineStr">
        <is>
          <t>nr</t>
        </is>
      </c>
      <c r="H61" s="102">
        <f>IF(B61="CW",
M61,
J61+K61+L61+
IF(B61="SUPD",1000*75%,
IF(B61="DUPD",1500*75%,
IF(B61="SAD",1200*75%,
IF(B61="DAD",2000*75%,
IF(B61="ELAW",850*75%,
IF(B61="LAW",650*75%,
IF(B61="MAW",550*75%,
IF(B61="SAW",450*75%,
IF(B61="LPVC",450*75%,
IF(B61="MPVC",400*75%,
IF(B61="SPVC",350*75%,
IF(B61="SADLAW",2000*75%,
IF(B61="SADMAW",1900*75%,
IF(B61="SADSAW",1700*75%,0)))))))))))))))</f>
        <v/>
      </c>
      <c r="I61" s="103">
        <f>SUM(H61*F61)</f>
        <v/>
      </c>
      <c r="J61" s="104" t="n">
        <v>417.38</v>
      </c>
      <c r="K61" s="4" t="n"/>
      <c r="L61" s="4" t="n"/>
      <c r="M61" s="4">
        <f>IF(B61="CW",SUM(O61*850),0)</f>
        <v/>
      </c>
      <c r="N61" s="4">
        <f>IF(B61="CW",SUM(O61*150),0)</f>
        <v/>
      </c>
      <c r="O61" s="21">
        <f>(TRIM(LEFT(E61,FIND("x",E61)-1)) * TRIM(MID(E61,FIND("x",E61)+1,LEN(E61)))) / 1000000</f>
        <v/>
      </c>
      <c r="P61" s="4" t="n"/>
    </row>
    <row r="62">
      <c r="B62" s="4" t="inlineStr">
        <is>
          <t>MPVC</t>
        </is>
      </c>
      <c r="C62" s="98" t="inlineStr">
        <is>
          <t>WF-25 - uPVC win 1455x1130 - Opener + fixed; escape window with restrictor override</t>
        </is>
      </c>
      <c r="D62" s="99" t="n"/>
      <c r="E62" s="100" t="inlineStr">
        <is>
          <t>1455 x 1130</t>
        </is>
      </c>
      <c r="F62" s="101" t="n">
        <v>1</v>
      </c>
      <c r="G62" s="92" t="inlineStr">
        <is>
          <t>nr</t>
        </is>
      </c>
      <c r="H62" s="102">
        <f>IF(B62="CW",
M62,
J62+K62+L62+
IF(B62="SUPD",1000*75%,
IF(B62="DUPD",1500*75%,
IF(B62="SAD",1200*75%,
IF(B62="DAD",2000*75%,
IF(B62="ELAW",850*75%,
IF(B62="LAW",650*75%,
IF(B62="MAW",550*75%,
IF(B62="SAW",450*75%,
IF(B62="LPVC",450*75%,
IF(B62="MPVC",400*75%,
IF(B62="SPVC",350*75%,
IF(B62="SADLAW",2000*75%,
IF(B62="SADMAW",1900*75%,
IF(B62="SADSAW",1700*75%,0)))))))))))))))</f>
        <v/>
      </c>
      <c r="I62" s="103">
        <f>SUM(H62*F62)</f>
        <v/>
      </c>
      <c r="J62" s="104" t="n">
        <v>417.38</v>
      </c>
      <c r="K62" s="4" t="n"/>
      <c r="L62" s="4" t="n"/>
      <c r="M62" s="4">
        <f>IF(B62="CW",SUM(O62*850),0)</f>
        <v/>
      </c>
      <c r="N62" s="4">
        <f>IF(B62="CW",SUM(O62*150),0)</f>
        <v/>
      </c>
      <c r="O62" s="21">
        <f>(TRIM(LEFT(E62,FIND("x",E62)-1)) * TRIM(MID(E62,FIND("x",E62)+1,LEN(E62)))) / 1000000</f>
        <v/>
      </c>
      <c r="P62" s="4" t="n"/>
    </row>
    <row r="63">
      <c r="B63" s="4" t="inlineStr">
        <is>
          <t>MPVC</t>
        </is>
      </c>
      <c r="C63" s="98" t="inlineStr">
        <is>
          <t>WF-26 - uPVC win 1455x1130 - Opener + fixed; escape window with restrictor override</t>
        </is>
      </c>
      <c r="D63" s="99" t="n"/>
      <c r="E63" s="100" t="inlineStr">
        <is>
          <t>1455 x 1130</t>
        </is>
      </c>
      <c r="F63" s="101" t="n">
        <v>1</v>
      </c>
      <c r="G63" s="92" t="inlineStr">
        <is>
          <t>nr</t>
        </is>
      </c>
      <c r="H63" s="102">
        <f>IF(B63="CW",
M63,
J63+K63+L63+
IF(B63="SUPD",1000*75%,
IF(B63="DUPD",1500*75%,
IF(B63="SAD",1200*75%,
IF(B63="DAD",2000*75%,
IF(B63="ELAW",850*75%,
IF(B63="LAW",650*75%,
IF(B63="MAW",550*75%,
IF(B63="SAW",450*75%,
IF(B63="LPVC",450*75%,
IF(B63="MPVC",400*75%,
IF(B63="SPVC",350*75%,
IF(B63="SADLAW",2000*75%,
IF(B63="SADMAW",1900*75%,
IF(B63="SADSAW",1700*75%,0)))))))))))))))</f>
        <v/>
      </c>
      <c r="I63" s="103">
        <f>SUM(H63*F63)</f>
        <v/>
      </c>
      <c r="J63" s="104" t="n">
        <v>417.38</v>
      </c>
      <c r="K63" s="4" t="n"/>
      <c r="L63" s="4" t="n"/>
      <c r="M63" s="4">
        <f>IF(B63="CW",SUM(O63*850),0)</f>
        <v/>
      </c>
      <c r="N63" s="4">
        <f>IF(B63="CW",SUM(O63*150),0)</f>
        <v/>
      </c>
      <c r="O63" s="21">
        <f>(TRIM(LEFT(E63,FIND("x",E63)-1)) * TRIM(MID(E63,FIND("x",E63)+1,LEN(E63)))) / 1000000</f>
        <v/>
      </c>
      <c r="P63" s="4" t="n"/>
    </row>
    <row r="64">
      <c r="B64" s="4" t="inlineStr">
        <is>
          <t>MPVC</t>
        </is>
      </c>
      <c r="C64" s="98" t="inlineStr">
        <is>
          <t>WF-27 - uPVC win 1338x1130 - Openers over fixed; combo with door DF-02; 980mm cladding below</t>
        </is>
      </c>
      <c r="D64" s="99" t="n"/>
      <c r="E64" s="100" t="inlineStr">
        <is>
          <t>1338 x 1130</t>
        </is>
      </c>
      <c r="F64" s="101" t="n">
        <v>1</v>
      </c>
      <c r="G64" s="92" t="inlineStr">
        <is>
          <t>nr</t>
        </is>
      </c>
      <c r="H64" s="102">
        <f>IF(B64="CW",
M64,
J64+K64+L64+
IF(B64="SUPD",1000*75%,
IF(B64="DUPD",1500*75%,
IF(B64="SAD",1200*75%,
IF(B64="DAD",2000*75%,
IF(B64="ELAW",850*75%,
IF(B64="LAW",650*75%,
IF(B64="MAW",550*75%,
IF(B64="SAW",450*75%,
IF(B64="LPVC",450*75%,
IF(B64="MPVC",400*75%,
IF(B64="SPVC",350*75%,
IF(B64="SADLAW",2000*75%,
IF(B64="SADMAW",1900*75%,
IF(B64="SADSAW",1700*75%,0)))))))))))))))</f>
        <v/>
      </c>
      <c r="I64" s="103">
        <f>SUM(H64*F64)</f>
        <v/>
      </c>
      <c r="J64" s="104" t="n">
        <v>389.44</v>
      </c>
      <c r="K64" s="4" t="n"/>
      <c r="L64" s="4" t="n"/>
      <c r="M64" s="4">
        <f>IF(B64="CW",SUM(O64*850),0)</f>
        <v/>
      </c>
      <c r="N64" s="4">
        <f>IF(B64="CW",SUM(O64*150),0)</f>
        <v/>
      </c>
      <c r="O64" s="21">
        <f>(TRIM(LEFT(E64,FIND("x",E64)-1)) * TRIM(MID(E64,FIND("x",E64)+1,LEN(E64)))) / 1000000</f>
        <v/>
      </c>
      <c r="P64" s="4" t="n"/>
    </row>
    <row r="65">
      <c r="B65" s="4" t="inlineStr">
        <is>
          <t>MPVC</t>
        </is>
      </c>
      <c r="C65" s="98" t="inlineStr">
        <is>
          <t>WF-28 - uPVC win 2238x1130 - Fixed + opener; 980mm cladding panel below</t>
        </is>
      </c>
      <c r="D65" s="99" t="n"/>
      <c r="E65" s="100" t="inlineStr">
        <is>
          <t>2238 x 1130</t>
        </is>
      </c>
      <c r="F65" s="101" t="n">
        <v>1</v>
      </c>
      <c r="G65" s="92" t="inlineStr">
        <is>
          <t>nr</t>
        </is>
      </c>
      <c r="H65" s="102">
        <f>IF(B65="CW",
M65,
J65+K65+L65+
IF(B65="SUPD",1000*75%,
IF(B65="DUPD",1500*75%,
IF(B65="SAD",1200*75%,
IF(B65="DAD",2000*75%,
IF(B65="ELAW",850*75%,
IF(B65="LAW",650*75%,
IF(B65="MAW",550*75%,
IF(B65="SAW",450*75%,
IF(B65="LPVC",450*75%,
IF(B65="MPVC",400*75%,
IF(B65="SPVC",350*75%,
IF(B65="SADLAW",2000*75%,
IF(B65="SADMAW",1900*75%,
IF(B65="SADSAW",1700*75%,0)))))))))))))))</f>
        <v/>
      </c>
      <c r="I65" s="103">
        <f>SUM(H65*F65)</f>
        <v/>
      </c>
      <c r="J65" s="104" t="n">
        <v>604.3099999999999</v>
      </c>
      <c r="K65" s="4" t="n"/>
      <c r="L65" s="4" t="n"/>
      <c r="M65" s="4">
        <f>IF(B65="CW",SUM(O65*850),0)</f>
        <v/>
      </c>
      <c r="N65" s="4">
        <f>IF(B65="CW",SUM(O65*150),0)</f>
        <v/>
      </c>
      <c r="O65" s="21">
        <f>(TRIM(LEFT(E65,FIND("x",E65)-1)) * TRIM(MID(E65,FIND("x",E65)+1,LEN(E65)))) / 1000000</f>
        <v/>
      </c>
      <c r="P65" s="4" t="n"/>
    </row>
    <row r="66">
      <c r="B66" s="4" t="inlineStr">
        <is>
          <t>MPVC</t>
        </is>
      </c>
      <c r="C66" s="98" t="inlineStr">
        <is>
          <t>WF-22 - uPVC win 1380x1470 - In combo with DF-01 over 940mm cladding (ref also appears on a 1280x1500 elevation - RFI d</t>
        </is>
      </c>
      <c r="D66" s="99" t="n"/>
      <c r="E66" s="100" t="inlineStr">
        <is>
          <t>1380 x 1470</t>
        </is>
      </c>
      <c r="F66" s="101" t="n">
        <v>1</v>
      </c>
      <c r="G66" s="92" t="inlineStr">
        <is>
          <t>nr</t>
        </is>
      </c>
      <c r="H66" s="102">
        <f>IF(B66="CW",
M66,
J66+K66+L66+
IF(B66="SUPD",1000*75%,
IF(B66="DUPD",1500*75%,
IF(B66="SAD",1200*75%,
IF(B66="DAD",2000*75%,
IF(B66="ELAW",850*75%,
IF(B66="LAW",650*75%,
IF(B66="MAW",550*75%,
IF(B66="SAW",450*75%,
IF(B66="LPVC",450*75%,
IF(B66="MPVC",400*75%,
IF(B66="SPVC",350*75%,
IF(B66="SADLAW",2000*75%,
IF(B66="SADMAW",1900*75%,
IF(B66="SADSAW",1700*75%,0)))))))))))))))</f>
        <v/>
      </c>
      <c r="I66" s="103">
        <f>SUM(H66*F66)</f>
        <v/>
      </c>
      <c r="J66" s="104" t="n">
        <v>498.6</v>
      </c>
      <c r="K66" s="4" t="n"/>
      <c r="L66" s="4" t="n"/>
      <c r="M66" s="4">
        <f>IF(B66="CW",SUM(O66*850),0)</f>
        <v/>
      </c>
      <c r="N66" s="4">
        <f>IF(B66="CW",SUM(O66*150),0)</f>
        <v/>
      </c>
      <c r="O66" s="21">
        <f>(TRIM(LEFT(E66,FIND("x",E66)-1)) * TRIM(MID(E66,FIND("x",E66)+1,LEN(E66)))) / 1000000</f>
        <v/>
      </c>
      <c r="P66" s="4" t="n"/>
    </row>
    <row r="67">
      <c r="B67" s="4" t="inlineStr">
        <is>
          <t>MPVC</t>
        </is>
      </c>
      <c r="C67" s="98" t="inlineStr">
        <is>
          <t>WF-22B* - uPVC win 1280x1500 - Standalone elevation labelled WF-22 (duplicate ref - RFI; possibly WF-29)</t>
        </is>
      </c>
      <c r="D67" s="99" t="n"/>
      <c r="E67" s="100" t="inlineStr">
        <is>
          <t>1280 x 1500</t>
        </is>
      </c>
      <c r="F67" s="101" t="n">
        <v>1</v>
      </c>
      <c r="G67" s="92" t="inlineStr">
        <is>
          <t>nr</t>
        </is>
      </c>
      <c r="H67" s="102">
        <f>IF(B67="CW",
M67,
J67+K67+L67+
IF(B67="SUPD",1000*75%,
IF(B67="DUPD",1500*75%,
IF(B67="SAD",1200*75%,
IF(B67="DAD",2000*75%,
IF(B67="ELAW",850*75%,
IF(B67="LAW",650*75%,
IF(B67="MAW",550*75%,
IF(B67="SAW",450*75%,
IF(B67="LPVC",450*75%,
IF(B67="MPVC",400*75%,
IF(B67="SPVC",350*75%,
IF(B67="SADLAW",2000*75%,
IF(B67="SADMAW",1900*75%,
IF(B67="SADSAW",1700*75%,0)))))))))))))))</f>
        <v/>
      </c>
      <c r="I67" s="103">
        <f>SUM(H67*F67)</f>
        <v/>
      </c>
      <c r="J67" s="104" t="n">
        <v>475.66</v>
      </c>
      <c r="K67" s="4" t="n"/>
      <c r="L67" s="4" t="n"/>
      <c r="M67" s="4">
        <f>IF(B67="CW",SUM(O67*850),0)</f>
        <v/>
      </c>
      <c r="N67" s="4">
        <f>IF(B67="CW",SUM(O67*150),0)</f>
        <v/>
      </c>
      <c r="O67" s="21">
        <f>(TRIM(LEFT(E67,FIND("x",E67)-1)) * TRIM(MID(E67,FIND("x",E67)+1,LEN(E67)))) / 1000000</f>
        <v/>
      </c>
      <c r="P67" s="4" t="n"/>
    </row>
    <row r="68">
      <c r="B68" s="4" t="inlineStr">
        <is>
          <t>MPVC</t>
        </is>
      </c>
      <c r="C68" s="98" t="inlineStr">
        <is>
          <t>WG-12 - uPVC win 1230x1300 - Side-by-side with door DG-05</t>
        </is>
      </c>
      <c r="D68" s="99" t="n"/>
      <c r="E68" s="100" t="inlineStr">
        <is>
          <t>1230 x 1300</t>
        </is>
      </c>
      <c r="F68" s="101" t="n">
        <v>1</v>
      </c>
      <c r="G68" s="92" t="inlineStr">
        <is>
          <t>nr</t>
        </is>
      </c>
      <c r="H68" s="102">
        <f>IF(B68="CW",
M68,
J68+K68+L68+
IF(B68="SUPD",1000*75%,
IF(B68="DUPD",1500*75%,
IF(B68="SAD",1200*75%,
IF(B68="DAD",2000*75%,
IF(B68="ELAW",850*75%,
IF(B68="LAW",650*75%,
IF(B68="MAW",550*75%,
IF(B68="SAW",450*75%,
IF(B68="LPVC",450*75%,
IF(B68="MPVC",400*75%,
IF(B68="SPVC",350*75%,
IF(B68="SADLAW",2000*75%,
IF(B68="SADMAW",1900*75%,
IF(B68="SADSAW",1700*75%,0)))))))))))))))</f>
        <v/>
      </c>
      <c r="I68" s="103">
        <f>SUM(H68*F68)</f>
        <v/>
      </c>
      <c r="J68" s="104" t="n">
        <v>407.84</v>
      </c>
      <c r="K68" s="4" t="n"/>
      <c r="L68" s="4" t="n"/>
      <c r="M68" s="4">
        <f>IF(B68="CW",SUM(O68*850),0)</f>
        <v/>
      </c>
      <c r="N68" s="4">
        <f>IF(B68="CW",SUM(O68*150),0)</f>
        <v/>
      </c>
      <c r="O68" s="21">
        <f>(TRIM(LEFT(E68,FIND("x",E68)-1)) * TRIM(MID(E68,FIND("x",E68)+1,LEN(E68)))) / 1000000</f>
        <v/>
      </c>
      <c r="P68" s="4" t="n"/>
    </row>
    <row r="69">
      <c r="B69" s="4" t="inlineStr">
        <is>
          <t>LPVC</t>
        </is>
      </c>
      <c r="C69" s="98" t="inlineStr">
        <is>
          <t>WG-44 - uPVC win 2210x1470 - Openers + fixed over 940mm cladding; combo with DG-14</t>
        </is>
      </c>
      <c r="D69" s="99" t="n"/>
      <c r="E69" s="100" t="inlineStr">
        <is>
          <t>2210 x 1470</t>
        </is>
      </c>
      <c r="F69" s="101" t="n">
        <v>1</v>
      </c>
      <c r="G69" s="92" t="inlineStr">
        <is>
          <t>nr</t>
        </is>
      </c>
      <c r="H69" s="102">
        <f>IF(B69="CW",
M69,
J69+K69+L69+
IF(B69="SUPD",1000*75%,
IF(B69="DUPD",1500*75%,
IF(B69="SAD",1200*75%,
IF(B69="DAD",2000*75%,
IF(B69="ELAW",850*75%,
IF(B69="LAW",650*75%,
IF(B69="MAW",550*75%,
IF(B69="SAW",450*75%,
IF(B69="LPVC",450*75%,
IF(B69="MPVC",400*75%,
IF(B69="SPVC",350*75%,
IF(B69="SADLAW",2000*75%,
IF(B69="SADMAW",1900*75%,
IF(B69="SADSAW",1700*75%,0)))))))))))))))</f>
        <v/>
      </c>
      <c r="I69" s="103">
        <f>SUM(H69*F69)</f>
        <v/>
      </c>
      <c r="J69" s="104" t="n">
        <v>681.02</v>
      </c>
      <c r="K69" s="4" t="n"/>
      <c r="L69" s="4" t="n"/>
      <c r="M69" s="4">
        <f>IF(B69="CW",SUM(O69*850),0)</f>
        <v/>
      </c>
      <c r="N69" s="4">
        <f>IF(B69="CW",SUM(O69*150),0)</f>
        <v/>
      </c>
      <c r="O69" s="21">
        <f>(TRIM(LEFT(E69,FIND("x",E69)-1)) * TRIM(MID(E69,FIND("x",E69)+1,LEN(E69)))) / 1000000</f>
        <v/>
      </c>
      <c r="P69" s="4" t="n"/>
    </row>
    <row r="70">
      <c r="B70" s="4" t="inlineStr">
        <is>
          <t>LPVC</t>
        </is>
      </c>
      <c r="C70" s="98" t="inlineStr">
        <is>
          <t>WG-30 - uPVC screen 4989x1660 - 4-pane screen with top-hung openers; part of 6074 run with DG-10; 670mm render below; ne</t>
        </is>
      </c>
      <c r="D70" s="99" t="n"/>
      <c r="E70" s="100" t="inlineStr">
        <is>
          <t>4989 x 1660</t>
        </is>
      </c>
      <c r="F70" s="101" t="n">
        <v>1</v>
      </c>
      <c r="G70" s="92" t="inlineStr">
        <is>
          <t>nr</t>
        </is>
      </c>
      <c r="H70" s="102">
        <f>IF(B70="CW",
M70,
J70+K70+L70+
IF(B70="SUPD",1000*75%,
IF(B70="DUPD",1500*75%,
IF(B70="SAD",1200*75%,
IF(B70="DAD",2000*75%,
IF(B70="ELAW",850*75%,
IF(B70="LAW",650*75%,
IF(B70="MAW",550*75%,
IF(B70="SAW",450*75%,
IF(B70="LPVC",450*75%,
IF(B70="MPVC",400*75%,
IF(B70="SPVC",350*75%,
IF(B70="SADLAW",2000*75%,
IF(B70="SADMAW",1900*75%,
IF(B70="SADSAW",1700*75%,0)))))))))))))))</f>
        <v/>
      </c>
      <c r="I70" s="103">
        <f>SUM(H70*F70)</f>
        <v/>
      </c>
      <c r="J70" s="104" t="n">
        <v>1801.05</v>
      </c>
      <c r="K70" s="4" t="n"/>
      <c r="L70" s="4" t="n"/>
      <c r="M70" s="4">
        <f>IF(B70="CW",SUM(O70*850),0)</f>
        <v/>
      </c>
      <c r="N70" s="4">
        <f>IF(B70="CW",SUM(O70*150),0)</f>
        <v/>
      </c>
      <c r="O70" s="21">
        <f>(TRIM(LEFT(E70,FIND("x",E70)-1)) * TRIM(MID(E70,FIND("x",E70)+1,LEN(E70)))) / 1000000</f>
        <v/>
      </c>
      <c r="P70" s="4" t="n"/>
    </row>
    <row r="71">
      <c r="B71" s="4" t="inlineStr">
        <is>
          <t>SUPD</t>
        </is>
      </c>
      <c r="C71" s="98" t="inlineStr">
        <is>
          <t>DG-05 - uPVC door 850x2200 - Single door + lower panel; beside WG-12; latch + thumb turn; maglock interface</t>
        </is>
      </c>
      <c r="D71" s="99" t="n"/>
      <c r="E71" s="100" t="inlineStr">
        <is>
          <t>850 x 2200</t>
        </is>
      </c>
      <c r="F71" s="101" t="n">
        <v>1</v>
      </c>
      <c r="G71" s="92" t="inlineStr">
        <is>
          <t>nr</t>
        </is>
      </c>
      <c r="H71" s="102">
        <f>IF(B71="CW",
M71,
J71+K71+L71+
IF(B71="SUPD",1000*75%,
IF(B71="DUPD",1500*75%,
IF(B71="SAD",1200*75%,
IF(B71="DAD",2000*75%,
IF(B71="ELAW",850*75%,
IF(B71="LAW",650*75%,
IF(B71="MAW",550*75%,
IF(B71="SAW",450*75%,
IF(B71="LPVC",450*75%,
IF(B71="MPVC",400*75%,
IF(B71="SPVC",350*75%,
IF(B71="SADLAW",2000*75%,
IF(B71="SADMAW",1900*75%,
IF(B71="SADSAW",1700*75%,0)))))))))))))))</f>
        <v/>
      </c>
      <c r="I71" s="103">
        <f>SUM(H71*F71)</f>
        <v/>
      </c>
      <c r="J71" s="104" t="n">
        <v>664.3099999999999</v>
      </c>
      <c r="K71" s="4" t="n"/>
      <c r="L71" s="4" t="n"/>
      <c r="M71" s="4">
        <f>IF(B71="CW",SUM(O71*850),0)</f>
        <v/>
      </c>
      <c r="N71" s="4">
        <f>IF(B71="CW",SUM(O71*150),0)</f>
        <v/>
      </c>
      <c r="O71" s="21">
        <f>(TRIM(LEFT(E71,FIND("x",E71)-1)) * TRIM(MID(E71,FIND("x",E71)+1,LEN(E71)))) / 1000000</f>
        <v/>
      </c>
      <c r="P71" s="4" t="n"/>
    </row>
    <row r="72">
      <c r="B72" s="4" t="inlineStr">
        <is>
          <t>SUPD</t>
        </is>
      </c>
      <c r="C72" s="98" t="inlineStr">
        <is>
          <t>DG-10 - uPVC door 985x2330 - Single door in WG-30 screen; latch + thumb turn; maglock interface</t>
        </is>
      </c>
      <c r="D72" s="99" t="n"/>
      <c r="E72" s="100" t="inlineStr">
        <is>
          <t>985 x 2330</t>
        </is>
      </c>
      <c r="F72" s="101" t="n">
        <v>1</v>
      </c>
      <c r="G72" s="92" t="inlineStr">
        <is>
          <t>nr</t>
        </is>
      </c>
      <c r="H72" s="102">
        <f>IF(B72="CW",
M72,
J72+K72+L72+
IF(B72="SUPD",1000*75%,
IF(B72="DUPD",1500*75%,
IF(B72="SAD",1200*75%,
IF(B72="DAD",2000*75%,
IF(B72="ELAW",850*75%,
IF(B72="LAW",650*75%,
IF(B72="MAW",550*75%,
IF(B72="SAW",450*75%,
IF(B72="LPVC",450*75%,
IF(B72="MPVC",400*75%,
IF(B72="SPVC",350*75%,
IF(B72="SADLAW",2000*75%,
IF(B72="SADMAW",1900*75%,
IF(B72="SADSAW",1700*75%,0)))))))))))))))</f>
        <v/>
      </c>
      <c r="I72" s="103">
        <f>SUM(H72*F72)</f>
        <v/>
      </c>
      <c r="J72" s="104" t="n">
        <v>781.21</v>
      </c>
      <c r="K72" s="4" t="n"/>
      <c r="L72" s="4" t="n"/>
      <c r="M72" s="4">
        <f>IF(B72="CW",SUM(O72*850),0)</f>
        <v/>
      </c>
      <c r="N72" s="4">
        <f>IF(B72="CW",SUM(O72*150),0)</f>
        <v/>
      </c>
      <c r="O72" s="21">
        <f>(TRIM(LEFT(E72,FIND("x",E72)-1)) * TRIM(MID(E72,FIND("x",E72)+1,LEN(E72)))) / 1000000</f>
        <v/>
      </c>
      <c r="P72" s="4" t="n"/>
    </row>
    <row r="73">
      <c r="B73" s="4" t="inlineStr">
        <is>
          <t>SUPD</t>
        </is>
      </c>
      <c r="C73" s="98" t="inlineStr">
        <is>
          <t>DG-14 - uPVC door 940x2410 - Single FIRE EXIT door + fanlight; push pad; combo with WG-44</t>
        </is>
      </c>
      <c r="D73" s="99" t="n"/>
      <c r="E73" s="100" t="inlineStr">
        <is>
          <t>940 x 2410</t>
        </is>
      </c>
      <c r="F73" s="101" t="n">
        <v>1</v>
      </c>
      <c r="G73" s="92" t="inlineStr">
        <is>
          <t>nr</t>
        </is>
      </c>
      <c r="H73" s="102">
        <f>IF(B73="CW",
M73,
J73+K73+L73+
IF(B73="SUPD",1000*75%,
IF(B73="DUPD",1500*75%,
IF(B73="SAD",1200*75%,
IF(B73="DAD",2000*75%,
IF(B73="ELAW",850*75%,
IF(B73="LAW",650*75%,
IF(B73="MAW",550*75%,
IF(B73="SAW",450*75%,
IF(B73="LPVC",450*75%,
IF(B73="MPVC",400*75%,
IF(B73="SPVC",350*75%,
IF(B73="SADLAW",2000*75%,
IF(B73="SADMAW",1900*75%,
IF(B73="SADSAW",1700*75%,0)))))))))))))))</f>
        <v/>
      </c>
      <c r="I73" s="103">
        <f>SUM(H73*F73)</f>
        <v/>
      </c>
      <c r="J73" s="104" t="n">
        <v>773.05</v>
      </c>
      <c r="K73" s="4" t="n"/>
      <c r="L73" s="4" t="n"/>
      <c r="M73" s="4">
        <f>IF(B73="CW",SUM(O73*850),0)</f>
        <v/>
      </c>
      <c r="N73" s="4">
        <f>IF(B73="CW",SUM(O73*150),0)</f>
        <v/>
      </c>
      <c r="O73" s="21">
        <f>(TRIM(LEFT(E73,FIND("x",E73)-1)) * TRIM(MID(E73,FIND("x",E73)+1,LEN(E73)))) / 1000000</f>
        <v/>
      </c>
      <c r="P73" s="4" t="n"/>
    </row>
    <row r="74">
      <c r="B74" s="4" t="inlineStr">
        <is>
          <t>SUPD</t>
        </is>
      </c>
      <c r="C74" s="98" t="inlineStr">
        <is>
          <t>DF-01 - uPVC door 940x2410 - Single FIRE EXIT door + fanlight; push pad; combo with WF-22</t>
        </is>
      </c>
      <c r="D74" s="99" t="n"/>
      <c r="E74" s="100" t="inlineStr">
        <is>
          <t>940 x 2410</t>
        </is>
      </c>
      <c r="F74" s="101" t="n">
        <v>1</v>
      </c>
      <c r="G74" s="92" t="inlineStr">
        <is>
          <t>nr</t>
        </is>
      </c>
      <c r="H74" s="102">
        <f>IF(B74="CW",
M74,
J74+K74+L74+
IF(B74="SUPD",1000*75%,
IF(B74="DUPD",1500*75%,
IF(B74="SAD",1200*75%,
IF(B74="DAD",2000*75%,
IF(B74="ELAW",850*75%,
IF(B74="LAW",650*75%,
IF(B74="MAW",550*75%,
IF(B74="SAW",450*75%,
IF(B74="LPVC",450*75%,
IF(B74="MPVC",400*75%,
IF(B74="SPVC",350*75%,
IF(B74="SADLAW",2000*75%,
IF(B74="SADMAW",1900*75%,
IF(B74="SADSAW",1700*75%,0)))))))))))))))</f>
        <v/>
      </c>
      <c r="I74" s="103">
        <f>SUM(H74*F74)</f>
        <v/>
      </c>
      <c r="J74" s="104" t="n">
        <v>773.05</v>
      </c>
      <c r="K74" s="4" t="n"/>
      <c r="L74" s="4" t="n"/>
      <c r="M74" s="4">
        <f>IF(B74="CW",SUM(O74*850),0)</f>
        <v/>
      </c>
      <c r="N74" s="4">
        <f>IF(B74="CW",SUM(O74*150),0)</f>
        <v/>
      </c>
      <c r="O74" s="21">
        <f>(TRIM(LEFT(E74,FIND("x",E74)-1)) * TRIM(MID(E74,FIND("x",E74)+1,LEN(E74)))) / 1000000</f>
        <v/>
      </c>
      <c r="P74" s="4" t="n"/>
    </row>
    <row r="75">
      <c r="B75" s="4" t="inlineStr">
        <is>
          <t>SUPD</t>
        </is>
      </c>
      <c r="C75" s="98" t="inlineStr">
        <is>
          <t>DF-02 - uPVC door 900x2330 - Single FIRE EXIT door; push pad; combo with WF-27</t>
        </is>
      </c>
      <c r="D75" s="99" t="n"/>
      <c r="E75" s="100" t="inlineStr">
        <is>
          <t>900 x 2330</t>
        </is>
      </c>
      <c r="F75" s="101" t="n">
        <v>1</v>
      </c>
      <c r="G75" s="92" t="inlineStr">
        <is>
          <t>nr</t>
        </is>
      </c>
      <c r="H75" s="102">
        <f>IF(B75="CW",
M75,
J75+K75+L75+
IF(B75="SUPD",1000*75%,
IF(B75="DUPD",1500*75%,
IF(B75="SAD",1200*75%,
IF(B75="DAD",2000*75%,
IF(B75="ELAW",850*75%,
IF(B75="LAW",650*75%,
IF(B75="MAW",550*75%,
IF(B75="SAW",450*75%,
IF(B75="LPVC",450*75%,
IF(B75="MPVC",400*75%,
IF(B75="SPVC",350*75%,
IF(B75="SADLAW",2000*75%,
IF(B75="SADMAW",1900*75%,
IF(B75="SADSAW",1700*75%,0)))))))))))))))</f>
        <v/>
      </c>
      <c r="I75" s="103">
        <f>SUM(H75*F75)</f>
        <v/>
      </c>
      <c r="J75" s="104" t="n">
        <v>726.74</v>
      </c>
      <c r="K75" s="4" t="n"/>
      <c r="L75" s="4" t="n"/>
      <c r="M75" s="4">
        <f>IF(B75="CW",SUM(O75*850),0)</f>
        <v/>
      </c>
      <c r="N75" s="4">
        <f>IF(B75="CW",SUM(O75*150),0)</f>
        <v/>
      </c>
      <c r="O75" s="21">
        <f>(TRIM(LEFT(E75,FIND("x",E75)-1)) * TRIM(MID(E75,FIND("x",E75)+1,LEN(E75)))) / 1000000</f>
        <v/>
      </c>
      <c r="P75" s="4" t="n"/>
    </row>
    <row r="76">
      <c r="B76" s="4" t="inlineStr">
        <is>
          <t>SAD</t>
        </is>
      </c>
      <c r="C76" s="98" t="inlineStr">
        <is>
          <t>DG-01 - Alu door 910x2390 - Single FIRE EXIT door + fanlight; push pad + external pull handle (spec 3.13); critical-lo</t>
        </is>
      </c>
      <c r="D76" s="99" t="n"/>
      <c r="E76" s="100" t="inlineStr">
        <is>
          <t>910 x 2390</t>
        </is>
      </c>
      <c r="F76" s="101" t="n">
        <v>1</v>
      </c>
      <c r="G76" s="92" t="inlineStr">
        <is>
          <t>nr</t>
        </is>
      </c>
      <c r="H76" s="102">
        <f>IF(B76="CW",
M76,
J76+K76+L76+
IF(B76="SUPD",1000*75%,
IF(B76="DUPD",1500*75%,
IF(B76="SAD",1200*75%,
IF(B76="DAD",2000*75%,
IF(B76="ELAW",850*75%,
IF(B76="LAW",650*75%,
IF(B76="MAW",550*75%,
IF(B76="SAW",450*75%,
IF(B76="LPVC",450*75%,
IF(B76="MPVC",400*75%,
IF(B76="SPVC",350*75%,
IF(B76="SADLAW",2000*75%,
IF(B76="SADMAW",1900*75%,
IF(B76="SADSAW",1700*75%,0)))))))))))))))</f>
        <v/>
      </c>
      <c r="I76" s="103">
        <f>SUM(H76*F76)</f>
        <v/>
      </c>
      <c r="J76" s="104" t="n">
        <v>1124.33</v>
      </c>
      <c r="K76" s="4" t="n"/>
      <c r="L76" s="4" t="n"/>
      <c r="M76" s="4">
        <f>IF(B76="CW",SUM(O76*850),0)</f>
        <v/>
      </c>
      <c r="N76" s="4">
        <f>IF(B76="CW",SUM(O76*150),0)</f>
        <v/>
      </c>
      <c r="O76" s="21">
        <f>(TRIM(LEFT(E76,FIND("x",E76)-1)) * TRIM(MID(E76,FIND("x",E76)+1,LEN(E76)))) / 1000000</f>
        <v/>
      </c>
      <c r="P76" s="4" t="n"/>
    </row>
    <row r="77">
      <c r="B77" s="4" t="inlineStr">
        <is>
          <t>SAD</t>
        </is>
      </c>
      <c r="C77" s="98" t="inlineStr">
        <is>
          <t>DG-02 - Alu door 750x2000 - Single FIRE EXIT door (narrow); push pad; critical glass</t>
        </is>
      </c>
      <c r="D77" s="99" t="n"/>
      <c r="E77" s="100" t="inlineStr">
        <is>
          <t>750 x 2000</t>
        </is>
      </c>
      <c r="F77" s="101" t="n">
        <v>1</v>
      </c>
      <c r="G77" s="92" t="inlineStr">
        <is>
          <t>nr</t>
        </is>
      </c>
      <c r="H77" s="102">
        <f>IF(B77="CW",
M77,
J77+K77+L77+
IF(B77="SUPD",1000*75%,
IF(B77="DUPD",1500*75%,
IF(B77="SAD",1200*75%,
IF(B77="DAD",2000*75%,
IF(B77="ELAW",850*75%,
IF(B77="LAW",650*75%,
IF(B77="MAW",550*75%,
IF(B77="SAW",450*75%,
IF(B77="LPVC",450*75%,
IF(B77="MPVC",400*75%,
IF(B77="SPVC",350*75%,
IF(B77="SADLAW",2000*75%,
IF(B77="SADMAW",1900*75%,
IF(B77="SADSAW",1700*75%,0)))))))))))))))</f>
        <v/>
      </c>
      <c r="I77" s="103">
        <f>SUM(H77*F77)</f>
        <v/>
      </c>
      <c r="J77" s="104" t="n">
        <v>821.99</v>
      </c>
      <c r="K77" s="4" t="n"/>
      <c r="L77" s="4" t="n"/>
      <c r="M77" s="4">
        <f>IF(B77="CW",SUM(O77*850),0)</f>
        <v/>
      </c>
      <c r="N77" s="4">
        <f>IF(B77="CW",SUM(O77*150),0)</f>
        <v/>
      </c>
      <c r="O77" s="21">
        <f>(TRIM(LEFT(E77,FIND("x",E77)-1)) * TRIM(MID(E77,FIND("x",E77)+1,LEN(E77)))) / 1000000</f>
        <v/>
      </c>
      <c r="P77" s="4" t="n"/>
    </row>
    <row r="78">
      <c r="B78" s="4" t="inlineStr">
        <is>
          <t>SADSAW</t>
        </is>
      </c>
      <c r="C78" s="98" t="inlineStr">
        <is>
          <t>DG-09 - Alu door 2756x2330 - MAIN ENTRANCE screen: door (min 1000mm clear opening) + side glazing + 'Greenfield's' fasc</t>
        </is>
      </c>
      <c r="D78" s="99" t="n"/>
      <c r="E78" s="100" t="inlineStr">
        <is>
          <t>2756 x 2330</t>
        </is>
      </c>
      <c r="F78" s="101" t="n">
        <v>1</v>
      </c>
      <c r="G78" s="92" t="inlineStr">
        <is>
          <t>nr</t>
        </is>
      </c>
      <c r="H78" s="102">
        <f>IF(B78="CW",
M78,
J78+K78+L78+
IF(B78="SUPD",1000*75%,
IF(B78="DUPD",1500*75%,
IF(B78="SAD",1200*75%,
IF(B78="DAD",2000*75%,
IF(B78="ELAW",850*75%,
IF(B78="LAW",650*75%,
IF(B78="MAW",550*75%,
IF(B78="SAW",450*75%,
IF(B78="LPVC",450*75%,
IF(B78="MPVC",400*75%,
IF(B78="SPVC",350*75%,
IF(B78="SADLAW",2000*75%,
IF(B78="SADMAW",1900*75%,
IF(B78="SADSAW",1700*75%,0)))))))))))))))</f>
        <v/>
      </c>
      <c r="I78" s="103">
        <f>SUM(H78*F78)</f>
        <v/>
      </c>
      <c r="J78" s="104" t="n">
        <v>3039.25</v>
      </c>
      <c r="K78" s="4" t="n"/>
      <c r="L78" s="4" t="n"/>
      <c r="M78" s="4">
        <f>IF(B78="CW",SUM(O78*850),0)</f>
        <v/>
      </c>
      <c r="N78" s="4">
        <f>IF(B78="CW",SUM(O78*150),0)</f>
        <v/>
      </c>
      <c r="O78" s="21">
        <f>(TRIM(LEFT(E78,FIND("x",E78)-1)) * TRIM(MID(E78,FIND("x",E78)+1,LEN(E78)))) / 1000000</f>
        <v/>
      </c>
      <c r="P78" s="4" t="n"/>
    </row>
    <row r="79">
      <c r="B79" s="4" t="inlineStr">
        <is>
          <t>DAD</t>
        </is>
      </c>
      <c r="C79" s="98" t="inlineStr">
        <is>
          <t>DG-11 - Alu door2 1746x2410 - DOUBLE FIRE EXIT door + fanlight in 4840 screen; push bars</t>
        </is>
      </c>
      <c r="D79" s="99" t="n"/>
      <c r="E79" s="100" t="inlineStr">
        <is>
          <t>1746 x 2410</t>
        </is>
      </c>
      <c r="F79" s="101" t="n">
        <v>1</v>
      </c>
      <c r="G79" s="92" t="inlineStr">
        <is>
          <t>nr</t>
        </is>
      </c>
      <c r="H79" s="102">
        <f>IF(B79="CW",
M79,
J79+K79+L79+
IF(B79="SUPD",1000*75%,
IF(B79="DUPD",1500*75%,
IF(B79="SAD",1200*75%,
IF(B79="DAD",2000*75%,
IF(B79="ELAW",850*75%,
IF(B79="LAW",650*75%,
IF(B79="MAW",550*75%,
IF(B79="SAW",450*75%,
IF(B79="LPVC",450*75%,
IF(B79="MPVC",400*75%,
IF(B79="SPVC",350*75%,
IF(B79="SADLAW",2000*75%,
IF(B79="SADMAW",1900*75%,
IF(B79="SADSAW",1700*75%,0)))))))))))))))</f>
        <v/>
      </c>
      <c r="I79" s="103">
        <f>SUM(H79*F79)</f>
        <v/>
      </c>
      <c r="J79" s="104" t="n">
        <v>2063.67</v>
      </c>
      <c r="K79" s="4" t="n"/>
      <c r="L79" s="4" t="n"/>
      <c r="M79" s="4">
        <f>IF(B79="CW",SUM(O79*850),0)</f>
        <v/>
      </c>
      <c r="N79" s="4">
        <f>IF(B79="CW",SUM(O79*150),0)</f>
        <v/>
      </c>
      <c r="O79" s="21">
        <f>(TRIM(LEFT(E79,FIND("x",E79)-1)) * TRIM(MID(E79,FIND("x",E79)+1,LEN(E79)))) / 1000000</f>
        <v/>
      </c>
      <c r="P79" s="4" t="n"/>
    </row>
    <row r="80">
      <c r="B80" s="4" t="inlineStr">
        <is>
          <t>DAD</t>
        </is>
      </c>
      <c r="C80" s="98" t="inlineStr">
        <is>
          <t>DG-12 - Alu door2 1270x2410 - DOUBLE (narrow pair) FIRE EXIT door + fanlight; push bars</t>
        </is>
      </c>
      <c r="D80" s="99" t="n"/>
      <c r="E80" s="100" t="inlineStr">
        <is>
          <t>1270 x 2410</t>
        </is>
      </c>
      <c r="F80" s="101" t="n">
        <v>1</v>
      </c>
      <c r="G80" s="92" t="inlineStr">
        <is>
          <t>nr</t>
        </is>
      </c>
      <c r="H80" s="102">
        <f>IF(B80="CW",
M80,
J80+K80+L80+
IF(B80="SUPD",1000*75%,
IF(B80="DUPD",1500*75%,
IF(B80="SAD",1200*75%,
IF(B80="DAD",2000*75%,
IF(B80="ELAW",850*75%,
IF(B80="LAW",650*75%,
IF(B80="MAW",550*75%,
IF(B80="SAW",450*75%,
IF(B80="LPVC",450*75%,
IF(B80="MPVC",400*75%,
IF(B80="SPVC",350*75%,
IF(B80="SADLAW",2000*75%,
IF(B80="SADMAW",1900*75%,
IF(B80="SADSAW",1700*75%,0)))))))))))))))</f>
        <v/>
      </c>
      <c r="I80" s="103">
        <f>SUM(H80*F80)</f>
        <v/>
      </c>
      <c r="J80" s="104" t="n">
        <v>1562.4</v>
      </c>
      <c r="K80" s="4" t="n"/>
      <c r="L80" s="4" t="n"/>
      <c r="M80" s="4">
        <f>IF(B80="CW",SUM(O80*850),0)</f>
        <v/>
      </c>
      <c r="N80" s="4">
        <f>IF(B80="CW",SUM(O80*150),0)</f>
        <v/>
      </c>
      <c r="O80" s="21">
        <f>(TRIM(LEFT(E80,FIND("x",E80)-1)) * TRIM(MID(E80,FIND("x",E80)+1,LEN(E80)))) / 1000000</f>
        <v/>
      </c>
      <c r="P80" s="4" t="n"/>
    </row>
    <row r="81">
      <c r="B81" s="4" t="inlineStr">
        <is>
          <t>DAD</t>
        </is>
      </c>
      <c r="C81" s="98" t="inlineStr">
        <is>
          <t>DG-03 - Alu RAL8004 door2 1637x2400 - DOUBLE plant-room door with METAL LOUVRE panels + top vents; push pad + latch hand</t>
        </is>
      </c>
      <c r="D81" s="99" t="n"/>
      <c r="E81" s="100" t="inlineStr">
        <is>
          <t>1637 x 2400</t>
        </is>
      </c>
      <c r="F81" s="101" t="n">
        <v>1</v>
      </c>
      <c r="G81" s="92" t="inlineStr">
        <is>
          <t>nr</t>
        </is>
      </c>
      <c r="H81" s="102">
        <f>IF(B81="CW",
M81,
J81+K81+L81+
IF(B81="SUPD",1000*75%,
IF(B81="DUPD",1500*75%,
IF(B81="SAD",1200*75%,
IF(B81="DAD",2000*75%,
IF(B81="ELAW",850*75%,
IF(B81="LAW",650*75%,
IF(B81="MAW",550*75%,
IF(B81="SAW",450*75%,
IF(B81="LPVC",450*75%,
IF(B81="MPVC",400*75%,
IF(B81="SPVC",350*75%,
IF(B81="SADLAW",2000*75%,
IF(B81="SADMAW",1900*75%,
IF(B81="SADSAW",1700*75%,0)))))))))))))))</f>
        <v/>
      </c>
      <c r="I81" s="103">
        <f>SUM(H81*F81)</f>
        <v/>
      </c>
      <c r="J81" s="104" t="n">
        <v>2513.4</v>
      </c>
      <c r="K81" s="4" t="n"/>
      <c r="L81" s="4" t="n"/>
      <c r="M81" s="4">
        <f>IF(B81="CW",SUM(O81*850),0)</f>
        <v/>
      </c>
      <c r="N81" s="4">
        <f>IF(B81="CW",SUM(O81*150),0)</f>
        <v/>
      </c>
      <c r="O81" s="21">
        <f>(TRIM(LEFT(E81,FIND("x",E81)-1)) * TRIM(MID(E81,FIND("x",E81)+1,LEN(E81)))) / 1000000</f>
        <v/>
      </c>
      <c r="P81" s="4" t="n"/>
    </row>
    <row r="82">
      <c r="B82" s="4" t="inlineStr">
        <is>
          <t>SAD</t>
        </is>
      </c>
      <c r="C82" s="98" t="inlineStr">
        <is>
          <t>DG-04 - Alu RAL8004 door 825x2100 - Single FIRE EXIT door + lower panel; push pad + latch/lock; no maglock</t>
        </is>
      </c>
      <c r="D82" s="99" t="n"/>
      <c r="E82" s="100" t="inlineStr">
        <is>
          <t>825 x 2100</t>
        </is>
      </c>
      <c r="F82" s="101" t="n">
        <v>1</v>
      </c>
      <c r="G82" s="92" t="inlineStr">
        <is>
          <t>nr</t>
        </is>
      </c>
      <c r="H82" s="102">
        <f>IF(B82="CW",
M82,
J82+K82+L82+
IF(B82="SUPD",1000*75%,
IF(B82="DUPD",1500*75%,
IF(B82="SAD",1200*75%,
IF(B82="DAD",2000*75%,
IF(B82="ELAW",850*75%,
IF(B82="LAW",650*75%,
IF(B82="MAW",550*75%,
IF(B82="SAW",450*75%,
IF(B82="LPVC",450*75%,
IF(B82="MPVC",400*75%,
IF(B82="SPVC",350*75%,
IF(B82="SADLAW",2000*75%,
IF(B82="SADMAW",1900*75%,
IF(B82="SADSAW",1700*75%,0)))))))))))))))</f>
        <v/>
      </c>
      <c r="I82" s="103">
        <f>SUM(H82*F82)</f>
        <v/>
      </c>
      <c r="J82" s="104" t="n">
        <v>1003.76</v>
      </c>
      <c r="K82" s="4" t="n"/>
      <c r="L82" s="4" t="n"/>
      <c r="M82" s="4">
        <f>IF(B82="CW",SUM(O82*850),0)</f>
        <v/>
      </c>
      <c r="N82" s="4">
        <f>IF(B82="CW",SUM(O82*150),0)</f>
        <v/>
      </c>
      <c r="O82" s="21">
        <f>(TRIM(LEFT(E82,FIND("x",E82)-1)) * TRIM(MID(E82,FIND("x",E82)+1,LEN(E82)))) / 1000000</f>
        <v/>
      </c>
      <c r="P82" s="4" t="n"/>
    </row>
    <row r="83">
      <c r="B83" s="4" t="inlineStr">
        <is>
          <t>SAD</t>
        </is>
      </c>
      <c r="C83" s="98" t="inlineStr">
        <is>
          <t>DG-06 - Alu RAL8004 door 949x2100 - Single FIRE EXIT plant door + panel; push pad + latch/lock; no maglock</t>
        </is>
      </c>
      <c r="D83" s="99" t="n"/>
      <c r="E83" s="100" t="inlineStr">
        <is>
          <t>949 x 2100</t>
        </is>
      </c>
      <c r="F83" s="101" t="n">
        <v>1</v>
      </c>
      <c r="G83" s="92" t="inlineStr">
        <is>
          <t>nr</t>
        </is>
      </c>
      <c r="H83" s="102">
        <f>IF(B83="CW",
M83,
J83+K83+L83+
IF(B83="SUPD",1000*75%,
IF(B83="DUPD",1500*75%,
IF(B83="SAD",1200*75%,
IF(B83="DAD",2000*75%,
IF(B83="ELAW",850*75%,
IF(B83="LAW",650*75%,
IF(B83="MAW",550*75%,
IF(B83="SAW",450*75%,
IF(B83="LPVC",450*75%,
IF(B83="MPVC",400*75%,
IF(B83="SPVC",350*75%,
IF(B83="SADLAW",2000*75%,
IF(B83="SADMAW",1900*75%,
IF(B83="SADSAW",1700*75%,0)))))))))))))))</f>
        <v/>
      </c>
      <c r="I83" s="103">
        <f>SUM(H83*F83)</f>
        <v/>
      </c>
      <c r="J83" s="104" t="n">
        <v>1132.08</v>
      </c>
      <c r="K83" s="4" t="n"/>
      <c r="L83" s="4" t="n"/>
      <c r="M83" s="4">
        <f>IF(B83="CW",SUM(O83*850),0)</f>
        <v/>
      </c>
      <c r="N83" s="4">
        <f>IF(B83="CW",SUM(O83*150),0)</f>
        <v/>
      </c>
      <c r="O83" s="21">
        <f>(TRIM(LEFT(E83,FIND("x",E83)-1)) * TRIM(MID(E83,FIND("x",E83)+1,LEN(E83)))) / 1000000</f>
        <v/>
      </c>
      <c r="P83" s="4" t="n"/>
    </row>
    <row r="84">
      <c r="B84" s="4" t="inlineStr">
        <is>
          <t>SAD</t>
        </is>
      </c>
      <c r="C84" s="98" t="inlineStr">
        <is>
          <t>DG-07 - Alu RAL8004 door 949x2100 - Single FIRE EXIT plant door + panel; push pad + latch/lock; no maglock</t>
        </is>
      </c>
      <c r="D84" s="99" t="n"/>
      <c r="E84" s="100" t="inlineStr">
        <is>
          <t>949 x 2100</t>
        </is>
      </c>
      <c r="F84" s="101" t="n">
        <v>1</v>
      </c>
      <c r="G84" s="92" t="inlineStr">
        <is>
          <t>nr</t>
        </is>
      </c>
      <c r="H84" s="102">
        <f>IF(B84="CW",
M84,
J84+K84+L84+
IF(B84="SUPD",1000*75%,
IF(B84="DUPD",1500*75%,
IF(B84="SAD",1200*75%,
IF(B84="DAD",2000*75%,
IF(B84="ELAW",850*75%,
IF(B84="LAW",650*75%,
IF(B84="MAW",550*75%,
IF(B84="SAW",450*75%,
IF(B84="LPVC",450*75%,
IF(B84="MPVC",400*75%,
IF(B84="SPVC",350*75%,
IF(B84="SADLAW",2000*75%,
IF(B84="SADMAW",1900*75%,
IF(B84="SADSAW",1700*75%,0)))))))))))))))</f>
        <v/>
      </c>
      <c r="I84" s="103">
        <f>SUM(H84*F84)</f>
        <v/>
      </c>
      <c r="J84" s="104" t="n">
        <v>1132.08</v>
      </c>
      <c r="K84" s="4" t="n"/>
      <c r="L84" s="4" t="n"/>
      <c r="M84" s="4">
        <f>IF(B84="CW",SUM(O84*850),0)</f>
        <v/>
      </c>
      <c r="N84" s="4">
        <f>IF(B84="CW",SUM(O84*150),0)</f>
        <v/>
      </c>
      <c r="O84" s="21">
        <f>(TRIM(LEFT(E84,FIND("x",E84)-1)) * TRIM(MID(E84,FIND("x",E84)+1,LEN(E84)))) / 1000000</f>
        <v/>
      </c>
      <c r="P84" s="4" t="n"/>
    </row>
    <row r="85">
      <c r="B85" s="4" t="inlineStr">
        <is>
          <t>DAD</t>
        </is>
      </c>
      <c r="C85" s="98" t="inlineStr">
        <is>
          <t>DG-08 - Alu RAL8004 slidefold 2756x2680 - 3-LEAF SLIDE-FOLD door (amended P2); confirm operation/gear spec</t>
        </is>
      </c>
      <c r="D85" s="99" t="n"/>
      <c r="E85" s="100" t="inlineStr">
        <is>
          <t>2756 x 2680</t>
        </is>
      </c>
      <c r="F85" s="101" t="n">
        <v>1</v>
      </c>
      <c r="G85" s="92" t="inlineStr">
        <is>
          <t>nr</t>
        </is>
      </c>
      <c r="H85" s="102">
        <f>IF(B85="CW",
M85,
J85+K85+L85+
IF(B85="SUPD",1000*75%,
IF(B85="DUPD",1500*75%,
IF(B85="SAD",1200*75%,
IF(B85="DAD",2000*75%,
IF(B85="ELAW",850*75%,
IF(B85="LAW",650*75%,
IF(B85="MAW",550*75%,
IF(B85="SAW",450*75%,
IF(B85="LPVC",450*75%,
IF(B85="MPVC",400*75%,
IF(B85="SPVC",350*75%,
IF(B85="SADLAW",2000*75%,
IF(B85="SADMAW",1900*75%,
IF(B85="SADSAW",1700*75%,0)))))))))))))))</f>
        <v/>
      </c>
      <c r="I85" s="103">
        <f>SUM(H85*F85)</f>
        <v/>
      </c>
      <c r="J85" s="104" t="n">
        <v>4577.95</v>
      </c>
      <c r="K85" s="4" t="n"/>
      <c r="L85" s="4" t="n"/>
      <c r="M85" s="4">
        <f>IF(B85="CW",SUM(O85*850),0)</f>
        <v/>
      </c>
      <c r="N85" s="4">
        <f>IF(B85="CW",SUM(O85*150),0)</f>
        <v/>
      </c>
      <c r="O85" s="21">
        <f>(TRIM(LEFT(E85,FIND("x",E85)-1)) * TRIM(MID(E85,FIND("x",E85)+1,LEN(E85)))) / 1000000</f>
        <v/>
      </c>
      <c r="P85" s="4" t="n"/>
    </row>
    <row r="86">
      <c r="B86" s="4" t="inlineStr"/>
      <c r="C86" s="98" t="inlineStr">
        <is>
          <t>ALLOW - Perimeter sealing/pointing: 542 lm @ GBP5/lm (PU foam + sealant int/ext per spec)</t>
        </is>
      </c>
      <c r="D86" s="99" t="n"/>
      <c r="E86" s="100" t="inlineStr">
        <is>
          <t>Allowance</t>
        </is>
      </c>
      <c r="F86" s="101" t="n">
        <v>1</v>
      </c>
      <c r="G86" s="92" t="inlineStr">
        <is>
          <t>nr</t>
        </is>
      </c>
      <c r="H86" s="102" t="n">
        <v>2711.7</v>
      </c>
      <c r="I86" s="103">
        <f>SUM(H86*F86)</f>
        <v/>
      </c>
      <c r="J86" s="104" t="n"/>
      <c r="K86" s="4" t="n"/>
      <c r="L86" s="4" t="n"/>
      <c r="M86" s="4">
        <f>IF(B86="CW",SUM(O86*850),0)</f>
        <v/>
      </c>
      <c r="N86" s="4">
        <f>IF(B86="CW",SUM(O86*150),0)</f>
        <v/>
      </c>
      <c r="O86" s="21">
        <f>(TRIM(LEFT(E86,FIND("x",E86)-1)) * TRIM(MID(E86,FIND("x",E86)+1,LEN(E86)))) / 1000000</f>
        <v/>
      </c>
      <c r="P86" s="4" t="n"/>
    </row>
    <row r="87">
      <c r="B87" s="4" t="inlineStr"/>
      <c r="C87" s="98" t="inlineStr">
        <is>
          <t>ALLOW - Tower access allowance for window works (spec 3.3.6; main scaffold by others)</t>
        </is>
      </c>
      <c r="D87" s="99" t="n"/>
      <c r="E87" s="100" t="inlineStr">
        <is>
          <t>Allowance</t>
        </is>
      </c>
      <c r="F87" s="101" t="n">
        <v>1</v>
      </c>
      <c r="G87" s="92" t="inlineStr">
        <is>
          <t>nr</t>
        </is>
      </c>
      <c r="H87" s="102" t="n">
        <v>1500</v>
      </c>
      <c r="I87" s="103">
        <f>SUM(H87*F87)</f>
        <v/>
      </c>
      <c r="J87" s="104" t="n"/>
      <c r="K87" s="4" t="n"/>
      <c r="L87" s="4" t="n"/>
      <c r="M87" s="4">
        <f>IF(B87="CW",SUM(O87*850),0)</f>
        <v/>
      </c>
      <c r="N87" s="4">
        <f>IF(B87="CW",SUM(O87*150),0)</f>
        <v/>
      </c>
      <c r="O87" s="21">
        <f>(TRIM(LEFT(E87,FIND("x",E87)-1)) * TRIM(MID(E87,FIND("x",E87)+1,LEN(E87)))) / 1000000</f>
        <v/>
      </c>
      <c r="P87" s="4" t="n"/>
    </row>
    <row r="88">
      <c r="B88" s="4" t="inlineStr"/>
      <c r="C88" s="98" t="inlineStr">
        <is>
          <t>ALLOW - FENSA notification, certification, 10-year IBG registration</t>
        </is>
      </c>
      <c r="D88" s="99" t="n"/>
      <c r="E88" s="100" t="inlineStr">
        <is>
          <t>Allowance</t>
        </is>
      </c>
      <c r="F88" s="101" t="n">
        <v>1</v>
      </c>
      <c r="G88" s="92" t="inlineStr">
        <is>
          <t>nr</t>
        </is>
      </c>
      <c r="H88" s="102" t="n">
        <v>600</v>
      </c>
      <c r="I88" s="103">
        <f>SUM(H88*F88)</f>
        <v/>
      </c>
      <c r="J88" s="104" t="n"/>
      <c r="K88" s="4" t="n"/>
      <c r="L88" s="4" t="n"/>
      <c r="M88" s="4">
        <f>IF(B88="CW",SUM(O88*850),0)</f>
        <v/>
      </c>
      <c r="N88" s="4">
        <f>IF(B88="CW",SUM(O88*150),0)</f>
        <v/>
      </c>
      <c r="O88" s="21">
        <f>(TRIM(LEFT(E88,FIND("x",E88)-1)) * TRIM(MID(E88,FIND("x",E88)+1,LEN(E88)))) / 1000000</f>
        <v/>
      </c>
      <c r="P88" s="4" t="n"/>
    </row>
    <row r="89">
      <c r="B89" s="4" t="inlineStr"/>
      <c r="C89" s="98" t="inlineStr">
        <is>
          <t>ALLOW - Manifestation to glazed doors/screens (Part M/N2)</t>
        </is>
      </c>
      <c r="D89" s="99" t="n"/>
      <c r="E89" s="100" t="inlineStr">
        <is>
          <t>Allowance</t>
        </is>
      </c>
      <c r="F89" s="101" t="n">
        <v>1</v>
      </c>
      <c r="G89" s="92" t="inlineStr">
        <is>
          <t>nr</t>
        </is>
      </c>
      <c r="H89" s="102" t="n">
        <v>350</v>
      </c>
      <c r="I89" s="103">
        <f>SUM(H89*F89)</f>
        <v/>
      </c>
      <c r="J89" s="104" t="n"/>
      <c r="K89" s="4" t="n"/>
      <c r="L89" s="4" t="n"/>
      <c r="M89" s="4">
        <f>IF(B89="CW",SUM(O89*850),0)</f>
        <v/>
      </c>
      <c r="N89" s="4">
        <f>IF(B89="CW",SUM(O89*150),0)</f>
        <v/>
      </c>
      <c r="O89" s="21">
        <f>(TRIM(LEFT(E89,FIND("x",E89)-1)) * TRIM(MID(E89,FIND("x",E89)+1,LEN(E89)))) / 1000000</f>
        <v/>
      </c>
      <c r="P89" s="4" t="n"/>
    </row>
    <row r="90">
      <c r="B90" s="4" t="inlineStr"/>
      <c r="C90" s="89" t="inlineStr">
        <is>
          <t>ALLOW - Occupied-care-home sequencing, protection &amp; Schedule of Condition (5%)</t>
        </is>
      </c>
      <c r="D90" s="99" t="n"/>
      <c r="E90" s="100" t="inlineStr">
        <is>
          <t>Allowance</t>
        </is>
      </c>
      <c r="F90" s="91" t="n">
        <v>1</v>
      </c>
      <c r="G90" s="92" t="inlineStr">
        <is>
          <t>nr</t>
        </is>
      </c>
      <c r="H90" s="86" t="n">
        <v>4562.84</v>
      </c>
      <c r="I90" s="88">
        <f>SUM(H90*F90)</f>
        <v/>
      </c>
      <c r="J90" s="93" t="n"/>
      <c r="K90" s="4" t="n"/>
      <c r="L90" s="4" t="n"/>
      <c r="M90" s="4">
        <f>IF(B90="CW",SUM(O90*850),0)</f>
        <v/>
      </c>
      <c r="N90" s="4">
        <f>IF(B90="CW",SUM(O90*150),0)</f>
        <v/>
      </c>
      <c r="O90" s="21">
        <f>(TRIM(LEFT(E90,FIND("x",E90)-1)) * TRIM(MID(E90,FIND("x",E90)+1,LEN(E90)))) / 1000000</f>
        <v/>
      </c>
      <c r="P90" s="4">
        <f>SUM(P9:P19)</f>
        <v/>
      </c>
      <c r="Q90" s="4" t="n"/>
    </row>
    <row r="91">
      <c r="C91" s="105" t="n"/>
      <c r="D91" s="106" t="n"/>
      <c r="E91" s="107" t="n"/>
      <c r="F91" s="107" t="n"/>
      <c r="G91" s="106" t="inlineStr">
        <is>
          <t>INSTALLATION</t>
        </is>
      </c>
      <c r="H91" s="108" t="n"/>
      <c r="I91" s="109">
        <f t="array" ref="I91">SUMPRODUCT((B9:B90="CW")*F9:F90*N9:N90)+SUMPRODUCT(F9:F90*IF(B9:B90="SUPD",250,IF(B9:B90="DUPD",500,IF(B9:B90="SAD",250,IF(B9:B90="DAD",500,IF(B9:B90="ELAW",250,IF(B9:B90="LAW",160,IF(B9:B90="MAW",160,IF(B9:B90="SAW",160,IF(B9:B90="LPVC",160,IF(B9:B90="MPVC",160,IF(B9:B90="SPVC",160,IF(B9:B90="SADLAW",410,IF(B9:B90="SADMAW",410,IF(B9:B90="SADSAW",410,0))))))))))))))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</row>
    <row r="92">
      <c r="C92" s="110" t="n"/>
      <c r="D92" s="111" t="n"/>
      <c r="E92" s="112" t="n"/>
      <c r="F92" s="112" t="n"/>
      <c r="G92" s="112" t="n"/>
      <c r="H92" s="112" t="n"/>
      <c r="I92" s="113" t="n"/>
      <c r="J92" s="4" t="n"/>
      <c r="K92" s="4" t="inlineStr">
        <is>
          <t xml:space="preserve">   </t>
        </is>
      </c>
      <c r="L92" s="4" t="n"/>
      <c r="M92" s="4" t="n"/>
      <c r="N92" s="4" t="n"/>
      <c r="O92" s="4" t="n"/>
      <c r="P92" s="4" t="n"/>
      <c r="Q92" s="4" t="n"/>
    </row>
    <row r="93">
      <c r="C93" s="40" t="n"/>
      <c r="D93" s="30" t="n"/>
      <c r="E93" s="30" t="n"/>
      <c r="F93" s="112" t="n"/>
      <c r="G93" s="112" t="n"/>
      <c r="H93" s="112" t="inlineStr">
        <is>
          <t>TOTAL*</t>
        </is>
      </c>
      <c r="I93" s="114">
        <f>SUM(I9:I90)+I91</f>
        <v/>
      </c>
      <c r="J93" s="4" t="n"/>
      <c r="K93" s="4" t="n"/>
      <c r="L93" s="4" t="n"/>
      <c r="M93" s="4" t="n"/>
      <c r="N93" s="4" t="n"/>
      <c r="O93" s="4" t="n"/>
      <c r="P93" s="4" t="n"/>
      <c r="Q93" s="4" t="n"/>
    </row>
    <row r="94">
      <c r="C94" s="45" t="n"/>
      <c r="D94" s="32" t="n"/>
      <c r="E94" s="32" t="n"/>
      <c r="F94" s="115" t="n"/>
      <c r="G94" s="115" t="n"/>
      <c r="H94" s="115" t="n"/>
      <c r="I94" s="116" t="n"/>
      <c r="J94" s="4" t="n"/>
      <c r="K94" s="4" t="n"/>
      <c r="L94" s="4" t="n"/>
      <c r="M94" s="4" t="n"/>
      <c r="N94" s="4" t="n"/>
      <c r="O94" s="4" t="n"/>
      <c r="P94" s="4" t="n"/>
      <c r="Q94" s="4" t="n"/>
    </row>
    <row r="95"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</row>
    <row r="96">
      <c r="C96" s="36" t="n"/>
      <c r="D96" s="61" t="inlineStr">
        <is>
          <t>OPTIONAL</t>
        </is>
      </c>
      <c r="E96" s="37" t="n"/>
      <c r="F96" s="107" t="n"/>
      <c r="G96" s="107" t="n"/>
      <c r="H96" s="107" t="n"/>
      <c r="I96" s="117" t="n"/>
      <c r="J96" s="4" t="n"/>
      <c r="K96" s="4" t="n"/>
      <c r="L96" s="4" t="n"/>
      <c r="M96" s="4" t="n"/>
      <c r="N96" s="4" t="n"/>
      <c r="O96" s="4" t="n"/>
      <c r="P96" s="4" t="n"/>
      <c r="Q96" s="4" t="n"/>
    </row>
    <row r="97">
      <c r="C97" s="40" t="n"/>
      <c r="D97" s="41" t="n"/>
      <c r="E97" s="42" t="n"/>
      <c r="F97" s="118" t="inlineStr">
        <is>
          <t>EXTERNAL MASTIC</t>
        </is>
      </c>
      <c r="I97" s="113" t="n">
        <v>0</v>
      </c>
      <c r="J97" s="4" t="n"/>
      <c r="K97" s="4" t="n"/>
      <c r="L97" s="4" t="n"/>
      <c r="M97" s="4" t="n"/>
      <c r="N97" s="4" t="n"/>
      <c r="O97" s="4" t="n"/>
      <c r="P97" s="4" t="n"/>
      <c r="Q97" s="4" t="n"/>
    </row>
    <row r="98">
      <c r="C98" s="40" t="n"/>
      <c r="D98" s="41" t="n"/>
      <c r="E98" s="42" t="n"/>
      <c r="F98" s="118" t="inlineStr">
        <is>
          <t>EDPM</t>
        </is>
      </c>
      <c r="I98" s="113" t="n">
        <v>0</v>
      </c>
      <c r="J98" s="4" t="n"/>
      <c r="K98" s="4" t="n"/>
      <c r="L98" s="4" t="n"/>
      <c r="M98" s="4" t="inlineStr">
        <is>
          <t xml:space="preserve"> </t>
        </is>
      </c>
      <c r="N98" s="4" t="n"/>
      <c r="O98" s="4" t="n"/>
      <c r="P98" s="4" t="n"/>
      <c r="Q98" s="4" t="n"/>
    </row>
    <row r="99">
      <c r="C99" s="45" t="n"/>
      <c r="D99" s="46" t="n"/>
      <c r="E99" s="46" t="n"/>
      <c r="F99" s="46" t="n"/>
      <c r="G99" s="46" t="n"/>
      <c r="H99" s="46" t="n"/>
      <c r="I99" s="47" t="n"/>
      <c r="J99" s="4" t="n"/>
      <c r="K99" s="5" t="n"/>
      <c r="L99" s="4" t="n"/>
      <c r="M99" s="4" t="n"/>
      <c r="N99" s="4" t="n"/>
      <c r="O99" s="4" t="n"/>
      <c r="P99" s="4" t="n"/>
      <c r="Q99" s="4" t="n"/>
    </row>
    <row r="100">
      <c r="C100" s="24" t="inlineStr">
        <is>
          <t xml:space="preserve">* Total value excluding VAT. </t>
        </is>
      </c>
      <c r="D100" s="20" t="n"/>
      <c r="E100" s="20" t="n"/>
    </row>
    <row r="101">
      <c r="C101" s="25" t="inlineStr">
        <is>
          <t>** This pricing document should be read in conjunction with the Terms and Conditions.</t>
        </is>
      </c>
      <c r="D101" s="20" t="n"/>
      <c r="E101" s="20" t="n"/>
    </row>
    <row r="102">
      <c r="C102" s="23" t="n"/>
      <c r="D102" s="20" t="n"/>
      <c r="E102" s="20" t="n"/>
    </row>
    <row r="103">
      <c r="C103" s="23" t="n"/>
      <c r="D103" s="20" t="n"/>
      <c r="E103" s="20" t="n"/>
    </row>
    <row r="104">
      <c r="C104" s="23" t="n"/>
      <c r="D104" s="20" t="n"/>
      <c r="E104" s="20" t="n"/>
    </row>
    <row r="105">
      <c r="C105" s="23" t="n"/>
      <c r="D105" s="20" t="n"/>
      <c r="E105" s="20" t="n"/>
    </row>
  </sheetData>
  <mergeCells count="17">
    <mergeCell ref="C15:D15"/>
    <mergeCell ref="C14:D14"/>
    <mergeCell ref="F97:H97"/>
    <mergeCell ref="C20:D20"/>
    <mergeCell ref="C10:D10"/>
    <mergeCell ref="C16:D16"/>
    <mergeCell ref="C9:D9"/>
    <mergeCell ref="C12:D12"/>
    <mergeCell ref="F98:H98"/>
    <mergeCell ref="C11:D11"/>
    <mergeCell ref="C17:D17"/>
    <mergeCell ref="C8:D8"/>
    <mergeCell ref="G91:H91"/>
    <mergeCell ref="C7:D7"/>
    <mergeCell ref="C19:D19"/>
    <mergeCell ref="C13:D13"/>
    <mergeCell ref="C18:D18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7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 Parker;dan.parker@agsurveying.co.uk</dc:creator>
  <dcterms:created xmlns:dcterms="http://purl.org/dc/terms/" xmlns:xsi="http://www.w3.org/2001/XMLSchema-instance" xsi:type="dcterms:W3CDTF">2018-12-07T08:13:03Z</dcterms:created>
  <dcterms:modified xmlns:dcterms="http://purl.org/dc/terms/" xmlns:xsi="http://www.w3.org/2001/XMLSchema-instance" xsi:type="dcterms:W3CDTF">2026-07-17T16:11:00Z</dcterms:modified>
  <cp:lastModifiedBy>Fenster Glazing</cp:lastModifiedBy>
  <cp:lastPrinted>2026-03-04T15:45:18Z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0x010100BBE029A084523C4C9690FE69933833E4</vt:lpwstr>
  </property>
  <property name="MediaServiceImageTags" fmtid="{D5CDD505-2E9C-101B-9397-08002B2CF9AE}" pid="3">
    <vt:lpwstr xmlns:vt="http://schemas.openxmlformats.org/officeDocument/2006/docPropsVTypes"/>
  </property>
</Properties>
</file>