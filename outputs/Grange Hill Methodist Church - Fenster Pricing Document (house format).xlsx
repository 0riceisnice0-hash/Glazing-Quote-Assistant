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965" firstSheet="0" activeTab="0" autoFilterDateGrouping="1"/>
  </bookViews>
  <sheets>
    <sheet xmlns:r="http://schemas.openxmlformats.org/officeDocument/2006/relationships" name="Pricing Document " sheetId="1" state="visible" r:id="rId1"/>
  </sheet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  <definedName name="_xlnm.Print_Titles" localSheetId="0">'Pricing Document '!$2:$7</definedName>
    <definedName name="_xlnm.Print_Area" localSheetId="0">'Pricing Document '!$C$1:$I$31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General_)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ill Sans"/>
      <family val="2"/>
      <sz val="10"/>
    </font>
    <font>
      <name val="Courier"/>
      <family val="3"/>
      <sz val="10"/>
    </font>
    <font>
      <name val="Arial"/>
      <family val="2"/>
      <sz val="10"/>
    </font>
    <font>
      <name val="Times New Roman"/>
      <family val="1"/>
      <color rgb="FF000000"/>
      <sz val="10"/>
    </font>
    <font>
      <name val="Times New Roman"/>
      <family val="1"/>
      <color theme="10"/>
      <sz val="10"/>
      <u val="single"/>
    </font>
    <font>
      <name val="Aptos"/>
      <family val="2"/>
      <sz val="10"/>
    </font>
    <font>
      <name val="Aptos"/>
      <family val="2"/>
      <sz val="14"/>
    </font>
    <font>
      <name val="Aptos"/>
      <family val="2"/>
      <b val="1"/>
      <color theme="0"/>
      <sz val="12"/>
    </font>
    <font>
      <name val="Aptos"/>
      <family val="2"/>
      <b val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8"/>
    </font>
    <font>
      <name val="Aptos"/>
      <family val="2"/>
      <b val="1"/>
      <i val="1"/>
      <color theme="1"/>
      <sz val="11"/>
    </font>
    <font>
      <name val="Aptos"/>
      <family val="2"/>
      <i val="1"/>
      <color theme="1"/>
      <sz val="11"/>
    </font>
    <font>
      <name val="Aptos"/>
      <family val="2"/>
      <b val="1"/>
      <sz val="11"/>
    </font>
    <font>
      <name val="Aptos"/>
      <family val="2"/>
      <b val="1"/>
      <sz val="12"/>
    </font>
    <font>
      <name val="Gill San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">
    <xf numFmtId="0" fontId="1" fillId="0" borderId="0"/>
    <xf numFmtId="43" fontId="1" fillId="0" borderId="0"/>
    <xf numFmtId="167" fontId="3" fillId="0" borderId="0"/>
    <xf numFmtId="0" fontId="5" fillId="0" borderId="0"/>
    <xf numFmtId="44" fontId="5" fillId="0" borderId="0"/>
    <xf numFmtId="0" fontId="6" fillId="0" borderId="0"/>
    <xf numFmtId="0" fontId="4" fillId="0" borderId="0"/>
    <xf numFmtId="44" fontId="1" fillId="0" borderId="0"/>
    <xf numFmtId="43" fontId="1" fillId="0" borderId="0"/>
    <xf numFmtId="44" fontId="1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9" fillId="3" borderId="9" applyAlignment="1" pivotButton="0" quotePrefix="0" xfId="0">
      <alignment vertical="center"/>
    </xf>
    <xf numFmtId="2" fontId="9" fillId="3" borderId="16" applyAlignment="1" pivotButton="0" quotePrefix="0" xfId="0">
      <alignment vertical="center"/>
    </xf>
    <xf numFmtId="2" fontId="9" fillId="3" borderId="8" applyAlignment="1" pivotButton="0" quotePrefix="0" xfId="0">
      <alignment vertical="center"/>
    </xf>
    <xf numFmtId="0" fontId="9" fillId="3" borderId="3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3" borderId="4" applyAlignment="1" pivotButton="0" quotePrefix="0" xfId="0">
      <alignment vertical="center"/>
    </xf>
    <xf numFmtId="14" fontId="9" fillId="3" borderId="0" applyAlignment="1" pivotButton="0" quotePrefix="0" xfId="0">
      <alignment horizontal="left" vertical="center"/>
    </xf>
    <xf numFmtId="0" fontId="10" fillId="0" borderId="13" applyAlignment="1" pivotButton="0" quotePrefix="0" xfId="0">
      <alignment horizontal="left" wrapText="1" indent="2"/>
    </xf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165" fontId="7" fillId="0" borderId="11" applyAlignment="1" pivotButton="0" quotePrefix="0" xfId="0">
      <alignment horizontal="center" vertical="center"/>
    </xf>
    <xf numFmtId="164" fontId="7" fillId="0" borderId="13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vertical="center"/>
    </xf>
    <xf numFmtId="0" fontId="11" fillId="0" borderId="0" pivotButton="0" quotePrefix="0" xfId="0"/>
    <xf numFmtId="9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2" fillId="2" borderId="18" applyAlignment="1" pivotButton="0" quotePrefix="0" xfId="0">
      <alignment horizontal="left" vertical="center"/>
    </xf>
    <xf numFmtId="0" fontId="12" fillId="2" borderId="19" applyAlignment="1" pivotButton="0" quotePrefix="0" xfId="0">
      <alignment horizontal="left" vertical="center"/>
    </xf>
    <xf numFmtId="0" fontId="12" fillId="2" borderId="19" applyAlignment="1" pivotButton="0" quotePrefix="0" xfId="0">
      <alignment vertical="top"/>
    </xf>
    <xf numFmtId="0" fontId="12" fillId="2" borderId="20" applyAlignment="1" pivotButton="0" quotePrefix="0" xfId="0">
      <alignment vertical="top"/>
    </xf>
    <xf numFmtId="0" fontId="10" fillId="2" borderId="0" applyAlignment="1" pivotButton="0" quotePrefix="0" xfId="0">
      <alignment horizontal="left" wrapText="1"/>
    </xf>
    <xf numFmtId="166" fontId="10" fillId="2" borderId="4" applyAlignment="1" pivotButton="0" quotePrefix="0" xfId="9">
      <alignment horizontal="right"/>
    </xf>
    <xf numFmtId="0" fontId="10" fillId="2" borderId="6" applyAlignment="1" pivotButton="0" quotePrefix="0" xfId="0">
      <alignment horizontal="left" wrapText="1"/>
    </xf>
    <xf numFmtId="164" fontId="10" fillId="2" borderId="7" applyAlignment="1" pivotButton="0" quotePrefix="0" xfId="1">
      <alignment horizontal="right"/>
    </xf>
    <xf numFmtId="167" fontId="10" fillId="2" borderId="17" applyAlignment="1" pivotButton="0" quotePrefix="0" xfId="2">
      <alignment horizontal="center" vertical="center"/>
    </xf>
    <xf numFmtId="4" fontId="10" fillId="2" borderId="14" applyAlignment="1" pivotButton="0" quotePrefix="0" xfId="2">
      <alignment horizontal="center" vertical="center"/>
    </xf>
    <xf numFmtId="0" fontId="10" fillId="2" borderId="10" pivotButton="0" quotePrefix="0" xfId="0"/>
    <xf numFmtId="0" fontId="10" fillId="2" borderId="1" applyAlignment="1" pivotButton="0" quotePrefix="0" xfId="0">
      <alignment horizontal="left" wrapText="1"/>
    </xf>
    <xf numFmtId="164" fontId="10" fillId="2" borderId="1" pivotButton="0" quotePrefix="0" xfId="1"/>
    <xf numFmtId="164" fontId="10" fillId="2" borderId="2" applyAlignment="1" pivotButton="0" quotePrefix="0" xfId="1">
      <alignment horizontal="right"/>
    </xf>
    <xf numFmtId="0" fontId="10" fillId="2" borderId="3" pivotButton="0" quotePrefix="0" xfId="0"/>
    <xf numFmtId="0" fontId="15" fillId="2" borderId="0" applyAlignment="1" pivotButton="0" quotePrefix="0" xfId="0">
      <alignment horizontal="center"/>
    </xf>
    <xf numFmtId="0" fontId="10" fillId="2" borderId="0" pivotButton="0" quotePrefix="0" xfId="0"/>
    <xf numFmtId="164" fontId="10" fillId="2" borderId="0" pivotButton="0" quotePrefix="0" xfId="1"/>
    <xf numFmtId="166" fontId="10" fillId="2" borderId="4" pivotButton="0" quotePrefix="0" xfId="9"/>
    <xf numFmtId="0" fontId="10" fillId="2" borderId="5" pivotButton="0" quotePrefix="0" xfId="0"/>
    <xf numFmtId="0" fontId="10" fillId="2" borderId="6" pivotButton="0" quotePrefix="0" xfId="0"/>
    <xf numFmtId="0" fontId="10" fillId="2" borderId="7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6" fontId="10" fillId="2" borderId="2" pivotButton="0" quotePrefix="0" xfId="9"/>
    <xf numFmtId="164" fontId="10" fillId="2" borderId="3" pivotButton="0" quotePrefix="0" xfId="1"/>
    <xf numFmtId="166" fontId="10" fillId="2" borderId="4" pivotButton="0" quotePrefix="0" xfId="9"/>
    <xf numFmtId="164" fontId="10" fillId="2" borderId="6" pivotButton="0" quotePrefix="0" xfId="1"/>
    <xf numFmtId="0" fontId="0" fillId="0" borderId="12" applyAlignment="1" pivotButton="0" quotePrefix="0" xfId="0">
      <alignment horizontal="center"/>
    </xf>
    <xf numFmtId="166" fontId="2" fillId="0" borderId="0" pivotButton="0" quotePrefix="0" xfId="9"/>
    <xf numFmtId="166" fontId="11" fillId="0" borderId="0" pivotButton="0" quotePrefix="0" xfId="9"/>
    <xf numFmtId="2" fontId="11" fillId="0" borderId="0" pivotButton="0" quotePrefix="0" xfId="0"/>
    <xf numFmtId="164" fontId="2" fillId="0" borderId="11" applyAlignment="1" pivotButton="0" quotePrefix="0" xfId="1">
      <alignment horizontal="center" vertical="center"/>
    </xf>
    <xf numFmtId="164" fontId="2" fillId="0" borderId="11" applyAlignment="1" pivotButton="0" quotePrefix="0" xfId="1">
      <alignment horizontal="right" vertical="center"/>
    </xf>
    <xf numFmtId="164" fontId="10" fillId="2" borderId="0" applyAlignment="1" pivotButton="0" quotePrefix="0" xfId="1">
      <alignment horizontal="center"/>
    </xf>
    <xf numFmtId="0" fontId="16" fillId="2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wrapText="1"/>
    </xf>
    <xf numFmtId="0" fontId="0" fillId="0" borderId="12" applyAlignment="1" pivotButton="0" quotePrefix="0" xfId="0">
      <alignment horizontal="center" vertical="center"/>
    </xf>
    <xf numFmtId="0" fontId="7" fillId="0" borderId="23" applyAlignment="1" pivotButton="0" quotePrefix="1" xfId="0">
      <alignment horizontal="center" vertical="center" wrapText="1"/>
    </xf>
    <xf numFmtId="0" fontId="7" fillId="0" borderId="24" applyAlignment="1" pivotButton="0" quotePrefix="1" xfId="0">
      <alignment horizontal="center" vertical="center" wrapText="1"/>
    </xf>
    <xf numFmtId="167" fontId="10" fillId="2" borderId="25" applyAlignment="1" pivotButton="0" quotePrefix="0" xfId="2">
      <alignment horizontal="center" vertical="center"/>
    </xf>
    <xf numFmtId="167" fontId="10" fillId="2" borderId="26" applyAlignment="1" pivotButton="0" quotePrefix="0" xfId="2">
      <alignment horizontal="center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7" fillId="0" borderId="23" applyAlignment="1" pivotButton="0" quotePrefix="1" xfId="0">
      <alignment horizontal="center" vertical="center"/>
    </xf>
    <xf numFmtId="0" fontId="7" fillId="0" borderId="24" applyAlignment="1" pivotButton="0" quotePrefix="1" xfId="0">
      <alignment horizontal="center" vertical="center"/>
    </xf>
    <xf numFmtId="0" fontId="10" fillId="0" borderId="23" applyAlignment="1" pivotButton="0" quotePrefix="1" xfId="0">
      <alignment horizontal="center" vertical="center" wrapText="1"/>
    </xf>
    <xf numFmtId="0" fontId="10" fillId="0" borderId="24" applyAlignment="1" pivotButton="0" quotePrefix="1" xfId="0">
      <alignment horizontal="center" vertical="center" wrapText="1"/>
    </xf>
    <xf numFmtId="164" fontId="10" fillId="2" borderId="0" applyAlignment="1" pivotButton="0" quotePrefix="0" xfId="1">
      <alignment horizontal="right"/>
    </xf>
    <xf numFmtId="164" fontId="10" fillId="2" borderId="1" applyAlignment="1" pivotButton="0" quotePrefix="0" xfId="1">
      <alignment horizontal="center"/>
    </xf>
    <xf numFmtId="0" fontId="7" fillId="0" borderId="27" applyAlignment="1" pivotButton="0" quotePrefix="1" xfId="0">
      <alignment horizontal="center" vertical="center" wrapText="1"/>
    </xf>
    <xf numFmtId="0" fontId="7" fillId="0" borderId="28" applyAlignment="1" pivotButton="0" quotePrefix="1" xfId="0">
      <alignment horizontal="center" vertical="center" wrapText="1"/>
    </xf>
    <xf numFmtId="0" fontId="18" fillId="0" borderId="24" applyAlignment="1" pivotButton="0" quotePrefix="1" xfId="0">
      <alignment horizontal="center" vertical="center"/>
    </xf>
    <xf numFmtId="0" fontId="18" fillId="0" borderId="23" applyAlignment="1" pivotButton="0" quotePrefix="1" xfId="0">
      <alignment horizontal="center" vertical="center"/>
    </xf>
    <xf numFmtId="166" fontId="11" fillId="0" borderId="0" pivotButton="0" quotePrefix="0" xfId="9"/>
    <xf numFmtId="167" fontId="10" fillId="2" borderId="33" applyAlignment="1" pivotButton="0" quotePrefix="0" xfId="2">
      <alignment horizontal="center" vertical="center"/>
    </xf>
    <xf numFmtId="0" fontId="0" fillId="0" borderId="26" pivotButton="0" quotePrefix="0" xfId="0"/>
    <xf numFmtId="167" fontId="10" fillId="2" borderId="17" applyAlignment="1" pivotButton="0" quotePrefix="0" xfId="2">
      <alignment horizontal="center" vertical="center"/>
    </xf>
    <xf numFmtId="0" fontId="10" fillId="0" borderId="35" applyAlignment="1" pivotButton="0" quotePrefix="0" xfId="0">
      <alignment horizontal="center" vertical="center" wrapText="1"/>
    </xf>
    <xf numFmtId="0" fontId="0" fillId="0" borderId="22" pivotButton="0" quotePrefix="0" xfId="0"/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0" fontId="18" fillId="0" borderId="32" applyAlignment="1" pivotButton="0" quotePrefix="1" xfId="0">
      <alignment horizontal="center" vertical="center"/>
    </xf>
    <xf numFmtId="0" fontId="0" fillId="0" borderId="24" pivotButton="0" quotePrefix="0" xfId="0"/>
    <xf numFmtId="164" fontId="2" fillId="0" borderId="11" applyAlignment="1" pivotButton="0" quotePrefix="0" xfId="1">
      <alignment horizontal="center" vertical="center"/>
    </xf>
    <xf numFmtId="165" fontId="7" fillId="0" borderId="11" applyAlignment="1" pivotButton="0" quotePrefix="0" xfId="0">
      <alignment horizontal="center" vertical="center"/>
    </xf>
    <xf numFmtId="166" fontId="2" fillId="0" borderId="0" pivotButton="0" quotePrefix="0" xfId="9"/>
    <xf numFmtId="0" fontId="7" fillId="0" borderId="32" applyAlignment="1" pivotButton="0" quotePrefix="1" xfId="0">
      <alignment horizontal="center" vertical="center"/>
    </xf>
    <xf numFmtId="0" fontId="7" fillId="0" borderId="32" applyAlignment="1" pivotButton="0" quotePrefix="1" xfId="0">
      <alignment horizontal="center" vertical="center" wrapText="1"/>
    </xf>
    <xf numFmtId="164" fontId="2" fillId="0" borderId="11" applyAlignment="1" pivotButton="0" quotePrefix="0" xfId="1">
      <alignment horizontal="right" vertical="center"/>
    </xf>
    <xf numFmtId="0" fontId="10" fillId="0" borderId="32" applyAlignment="1" pivotButton="0" quotePrefix="1" xfId="0">
      <alignment horizontal="center" vertical="center" wrapText="1"/>
    </xf>
    <xf numFmtId="0" fontId="7" fillId="0" borderId="29" applyAlignment="1" pivotButton="0" quotePrefix="1" xfId="0">
      <alignment horizontal="center" vertical="center" wrapText="1"/>
    </xf>
    <xf numFmtId="0" fontId="0" fillId="0" borderId="28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4" fontId="10" fillId="2" borderId="1" pivotButton="0" quotePrefix="0" xfId="1"/>
    <xf numFmtId="0" fontId="0" fillId="0" borderId="1" pivotButton="0" quotePrefix="0" xfId="0"/>
    <xf numFmtId="166" fontId="10" fillId="2" borderId="2" pivotButton="0" quotePrefix="0" xfId="9"/>
    <xf numFmtId="164" fontId="10" fillId="2" borderId="3" pivotButton="0" quotePrefix="0" xfId="1"/>
    <xf numFmtId="164" fontId="10" fillId="2" borderId="0" applyAlignment="1" pivotButton="0" quotePrefix="0" xfId="1">
      <alignment horizontal="center"/>
    </xf>
    <xf numFmtId="164" fontId="10" fillId="2" borderId="0" pivotButton="0" quotePrefix="0" xfId="1"/>
    <xf numFmtId="166" fontId="10" fillId="2" borderId="4" pivotButton="0" quotePrefix="0" xfId="9"/>
    <xf numFmtId="166" fontId="10" fillId="2" borderId="4" applyAlignment="1" pivotButton="0" quotePrefix="0" xfId="9">
      <alignment horizontal="right"/>
    </xf>
    <xf numFmtId="164" fontId="10" fillId="2" borderId="6" pivotButton="0" quotePrefix="0" xfId="1"/>
    <xf numFmtId="164" fontId="10" fillId="2" borderId="7" applyAlignment="1" pivotButton="0" quotePrefix="0" xfId="1">
      <alignment horizontal="right"/>
    </xf>
    <xf numFmtId="164" fontId="10" fillId="2" borderId="2" applyAlignment="1" pivotButton="0" quotePrefix="0" xfId="1">
      <alignment horizontal="right"/>
    </xf>
    <xf numFmtId="164" fontId="10" fillId="2" borderId="0" applyAlignment="1" pivotButton="0" quotePrefix="0" xfId="1">
      <alignment horizontal="right"/>
    </xf>
  </cellXfs>
  <cellStyles count="10">
    <cellStyle name="Normal" xfId="0" builtinId="0"/>
    <cellStyle name="Comma" xfId="1" builtinId="3"/>
    <cellStyle name="Normal_Hand dug" xfId="2"/>
    <cellStyle name="Normal 5" xfId="3"/>
    <cellStyle name="Currency 2" xfId="4"/>
    <cellStyle name="Hyperlink 2" xfId="5"/>
    <cellStyle name="Normal 2" xfId="6"/>
    <cellStyle name="Currency 3" xfId="7"/>
    <cellStyle name="Comma 2" xfId="8"/>
    <cellStyle name="Currency" xfId="9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</col>
      <colOff>286459</colOff>
      <row>1</row>
      <rowOff>168861</rowOff>
    </from>
    <to>
      <col>4</col>
      <colOff>155090</colOff>
      <row>1</row>
      <rowOff>1222993</rowOff>
    </to>
    <pic>
      <nvPicPr>
        <cNvPr id="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01849" y="363171"/>
          <a:ext cx="2653740" cy="10503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V35"/>
  <sheetViews>
    <sheetView tabSelected="1" topLeftCell="A2" zoomScale="71" zoomScaleNormal="85" workbookViewId="0">
      <selection activeCell="C9" sqref="C9:D9"/>
    </sheetView>
  </sheetViews>
  <sheetFormatPr baseColWidth="8" defaultColWidth="8.88671875" defaultRowHeight="14.4"/>
  <cols>
    <col width="4.6640625" customWidth="1" min="1" max="1"/>
    <col width="13.6640625" customWidth="1" min="2" max="2"/>
    <col width="9.6640625" customWidth="1" style="1" min="3" max="3"/>
    <col width="30.88671875" customWidth="1" style="2" min="4" max="4"/>
    <col width="23.5546875" customWidth="1" style="2" min="5" max="5"/>
    <col width="10.88671875" customWidth="1" style="2" min="6" max="6"/>
    <col width="6.5546875" customWidth="1" style="2" min="7" max="7"/>
    <col width="10.88671875" customWidth="1" style="2" min="8" max="8"/>
    <col width="17.6640625" customWidth="1" style="1" min="9" max="9"/>
    <col width="38" bestFit="1" customWidth="1" min="10" max="10"/>
    <col width="26.88671875" customWidth="1" min="11" max="11"/>
    <col width="26.109375" customWidth="1" min="12" max="12"/>
    <col width="15.88671875" customWidth="1" min="13" max="13"/>
    <col width="17.88671875" customWidth="1" min="14" max="14"/>
    <col width="13.6640625" customWidth="1" min="15" max="15"/>
  </cols>
  <sheetData>
    <row r="1" ht="15" customHeight="1" thickBot="1"/>
    <row r="2" ht="118.5" customFormat="1" customHeight="1" s="2">
      <c r="C2" s="26" t="n"/>
      <c r="D2" s="27" t="n"/>
      <c r="E2" s="27" t="n"/>
      <c r="F2" s="28" t="n"/>
      <c r="G2" s="28" t="n"/>
      <c r="H2" s="28" t="n"/>
      <c r="I2" s="29" t="n"/>
      <c r="J2" s="20" t="n"/>
      <c r="K2" s="20" t="n"/>
      <c r="L2" s="20" t="n"/>
      <c r="M2" s="20" t="n"/>
      <c r="N2" s="20" t="n"/>
      <c r="O2" s="20" t="n"/>
      <c r="P2" s="20" t="n"/>
      <c r="Q2" s="20" t="n"/>
    </row>
    <row r="3" ht="15.6" customHeight="1">
      <c r="C3" s="6" t="inlineStr">
        <is>
          <t>Client:</t>
        </is>
      </c>
      <c r="D3" s="7" t="inlineStr">
        <is>
          <t>Chigwell (London) PLC</t>
        </is>
      </c>
      <c r="E3" s="7" t="n"/>
      <c r="F3" s="7" t="n"/>
      <c r="G3" s="7" t="n"/>
      <c r="H3" s="7" t="n"/>
      <c r="I3" s="8" t="n"/>
      <c r="J3" s="21" t="n"/>
      <c r="K3" s="20" t="inlineStr">
        <is>
          <t>Supplier used:</t>
        </is>
      </c>
      <c r="L3" s="20" t="inlineStr">
        <is>
          <t>Benchmark - awaiting supplier quote</t>
        </is>
      </c>
      <c r="M3" s="80" t="n"/>
      <c r="N3" s="21" t="n"/>
      <c r="O3" s="21" t="n"/>
      <c r="P3" s="21" t="n"/>
      <c r="Q3" s="21" t="n"/>
    </row>
    <row r="4" ht="15.6" customHeight="1">
      <c r="C4" s="9" t="inlineStr">
        <is>
          <t xml:space="preserve">Project Reference: </t>
        </is>
      </c>
      <c r="D4" s="10" t="inlineStr">
        <is>
          <t>Grange Hill Methodist Church - New Entrance - Aluminium Windows, Doors &amp; Screens</t>
        </is>
      </c>
      <c r="E4" s="10" t="n"/>
      <c r="F4" s="10" t="n"/>
      <c r="G4" s="10" t="n"/>
      <c r="H4" s="10" t="n"/>
      <c r="I4" s="11" t="n"/>
      <c r="J4" s="22" t="n"/>
      <c r="K4" s="21" t="n"/>
      <c r="L4" s="21" t="n"/>
      <c r="M4" s="21" t="n"/>
      <c r="N4" s="21" t="n"/>
      <c r="O4" s="21" t="n"/>
      <c r="P4" s="21" t="n"/>
      <c r="Q4" s="21" t="n"/>
    </row>
    <row r="5" ht="15.6" customHeight="1">
      <c r="C5" s="9" t="inlineStr">
        <is>
          <t>Site Address:</t>
        </is>
      </c>
      <c r="D5" s="10" t="inlineStr">
        <is>
          <t>Grange Hill Methodist Community Centre, Burrow Road, Chigwell, Essex, IG7 4HQ</t>
        </is>
      </c>
      <c r="E5" s="10" t="n"/>
      <c r="F5" s="10" t="n"/>
      <c r="G5" s="10" t="n"/>
      <c r="H5" s="10" t="inlineStr">
        <is>
          <t>BENCHMARK for internal review - no supplier costs yet; sizes scaled from 1:100 elevations (GH007 R8 / GH008 R3), survey required</t>
        </is>
      </c>
      <c r="I5" s="11" t="n"/>
      <c r="J5" s="21" t="n"/>
      <c r="K5" s="21" t="n"/>
      <c r="L5" s="21" t="n"/>
      <c r="M5" s="21" t="n"/>
      <c r="N5" s="21" t="n"/>
      <c r="O5" s="21" t="n"/>
      <c r="P5" s="21" t="n"/>
      <c r="Q5" s="21" t="n"/>
    </row>
    <row r="6" ht="16.2" customHeight="1" thickBot="1">
      <c r="C6" s="9" t="inlineStr">
        <is>
          <t>Date:</t>
        </is>
      </c>
      <c r="D6" s="12" t="inlineStr">
        <is>
          <t>24/07/2026</t>
        </is>
      </c>
      <c r="E6" s="10" t="n"/>
      <c r="F6" s="10" t="n"/>
      <c r="G6" s="10" t="n"/>
      <c r="H6" s="10" t="n"/>
      <c r="I6" s="11" t="n"/>
      <c r="J6" s="21" t="n"/>
      <c r="K6" s="21" t="n"/>
      <c r="L6" s="21" t="n"/>
      <c r="M6" s="21" t="n"/>
      <c r="N6" s="21" t="n"/>
      <c r="O6" s="21" t="n"/>
      <c r="P6" s="4" t="n"/>
      <c r="Q6" s="4" t="n"/>
      <c r="R6" s="3" t="n"/>
      <c r="S6" s="3" t="n"/>
      <c r="T6" s="3" t="n"/>
      <c r="U6" s="3" t="n"/>
      <c r="V6" s="3" t="n"/>
    </row>
    <row r="7" ht="15" customFormat="1" customHeight="1" s="3" thickBot="1">
      <c r="C7" s="81" t="inlineStr">
        <is>
          <t>Description</t>
        </is>
      </c>
      <c r="D7" s="82" t="n"/>
      <c r="E7" s="83" t="inlineStr">
        <is>
          <t xml:space="preserve">Size </t>
        </is>
      </c>
      <c r="F7" s="83" t="inlineStr">
        <is>
          <t>Qty</t>
        </is>
      </c>
      <c r="G7" s="83" t="inlineStr">
        <is>
          <t>Unit</t>
        </is>
      </c>
      <c r="H7" s="83" t="inlineStr">
        <is>
          <t>Unit Rate</t>
        </is>
      </c>
      <c r="I7" s="35" t="inlineStr">
        <is>
          <t>Total</t>
        </is>
      </c>
      <c r="J7" s="4" t="n"/>
      <c r="K7" s="4" t="n"/>
      <c r="L7" s="4" t="n"/>
      <c r="M7" s="4" t="n"/>
      <c r="N7" s="4" t="n"/>
      <c r="O7" s="4" t="n"/>
      <c r="P7" s="4" t="n"/>
      <c r="Q7" s="4" t="n"/>
    </row>
    <row r="8" ht="27.75" customFormat="1" customHeight="1" s="3">
      <c r="B8" s="62" t="inlineStr">
        <is>
          <t>PRODUCT CODES</t>
        </is>
      </c>
      <c r="C8" s="84" t="inlineStr">
        <is>
          <t>SMA Smart Wall</t>
        </is>
      </c>
      <c r="D8" s="85" t="n"/>
      <c r="E8" s="13" t="n"/>
      <c r="F8" s="86" t="n"/>
      <c r="G8" s="87" t="n"/>
      <c r="H8" s="87" t="n"/>
      <c r="I8" s="88" t="n"/>
      <c r="J8" s="4" t="inlineStr">
        <is>
          <t>Frames</t>
        </is>
      </c>
      <c r="K8" s="4" t="inlineStr">
        <is>
          <t xml:space="preserve">Glass </t>
        </is>
      </c>
      <c r="L8" s="4" t="inlineStr">
        <is>
          <t xml:space="preserve">Additional </t>
        </is>
      </c>
      <c r="M8" s="4" t="inlineStr">
        <is>
          <t>CW</t>
        </is>
      </c>
      <c r="N8" s="4" t="inlineStr">
        <is>
          <t>CW LABOUR</t>
        </is>
      </c>
      <c r="O8" s="21" t="inlineStr">
        <is>
          <t>CW SQM</t>
        </is>
      </c>
      <c r="P8" s="4" t="n"/>
      <c r="Q8" s="4" t="n"/>
    </row>
    <row r="9" customFormat="1" s="3">
      <c r="B9" s="4" t="inlineStr">
        <is>
          <t>CW</t>
        </is>
      </c>
      <c r="C9" s="89" t="inlineStr">
        <is>
          <t>South elevation - glazed entrance screen incl 2no 1200mm doorsets to approx 2300mm (RH leaf bolted top/bottom), gable head following roof pitch, white PPC, level threshold</t>
        </is>
      </c>
      <c r="D9" s="90" t="n"/>
      <c r="E9" s="54" t="inlineStr">
        <is>
          <t>4542 x 2747</t>
        </is>
      </c>
      <c r="F9" s="91" t="n">
        <v>1</v>
      </c>
      <c r="G9" s="92" t="inlineStr">
        <is>
          <t>nr</t>
        </is>
      </c>
      <c r="H9" s="86">
        <f>IF(B9="CW",
M9,
J9+K9+L9+
IF(B9="SUPD",1000*75%,
IF(B9="DUPD",1500*75%,
IF(B9="SAD",1200*75%,
IF(B9="DAD",2000*75%,
IF(B9="ELAW",850*75%,
IF(B9="LAW",650*75%,
IF(B9="MAW",550*75%,
IF(B9="SAW",450*75%,
IF(B9="LPVC",450*75%,
IF(B9="MPVC",400*75%,
IF(B9="SPVC",350*75%,
IF(B9="SADLAW",2000*75%,
IF(B9="SADMAW",1900*75%,
IF(B9="SADSAW",1700*75%,0)))))))))))))))</f>
        <v/>
      </c>
      <c r="I9" s="88">
        <f>SUM(H9*F9)</f>
        <v/>
      </c>
      <c r="J9" s="93" t="n"/>
      <c r="K9" s="4" t="n"/>
      <c r="L9" s="4" t="n"/>
      <c r="M9" s="4">
        <f>IF(B9="CW",SUM(O9*850),0)</f>
        <v/>
      </c>
      <c r="N9" s="4">
        <f>IF(B9="CW",SUM(O9*150),0)</f>
        <v/>
      </c>
      <c r="O9" s="21">
        <f>(TRIM(LEFT(E9,FIND("x",E9)-1)) * TRIM(MID(E9,FIND("x",E9)+1,LEN(E9)))) / 1000000</f>
        <v/>
      </c>
      <c r="P9" s="4">
        <f t="array" ref="P9">SUM(F9*J9:K9)</f>
        <v/>
      </c>
      <c r="Q9" s="4" t="n"/>
    </row>
    <row r="10" customFormat="1" s="3">
      <c r="B10" s="4" t="inlineStr">
        <is>
          <t>CW</t>
        </is>
      </c>
      <c r="C10" s="94" t="inlineStr">
        <is>
          <t>West elevation - full-storey glazed screen incl 1200mm outward-opening DDA entrance door, 3-point locking, Briton 1438 push pad + 1413 knob, level threshold, white PPC</t>
        </is>
      </c>
      <c r="D10" s="90" t="n"/>
      <c r="E10" s="54" t="inlineStr">
        <is>
          <t>4588 x 2400</t>
        </is>
      </c>
      <c r="F10" s="91" t="n">
        <v>1</v>
      </c>
      <c r="G10" s="92" t="inlineStr">
        <is>
          <t>nr</t>
        </is>
      </c>
      <c r="H10" s="86">
        <f>IF(B10="CW",
M10,
J10+K10+L10+
IF(B10="SUPD",1000*75%,
IF(B10="DUPD",1500*75%,
IF(B10="SAD",1200*75%,
IF(B10="DAD",2000*75%,
IF(B10="ELAW",850*75%,
IF(B10="LAW",650*75%,
IF(B10="MAW",550*75%,
IF(B10="SAW",450*75%,
IF(B10="LPVC",450*75%,
IF(B10="MPVC",400*75%,
IF(B10="SPVC",350*75%,
IF(B10="SADLAW",2000*75%,
IF(B10="SADMAW",1900*75%,
IF(B10="SADSAW",1700*75%,0)))))))))))))))</f>
        <v/>
      </c>
      <c r="I10" s="88">
        <f>SUM(H10*F10)</f>
        <v/>
      </c>
      <c r="J10" s="93" t="n"/>
      <c r="K10" s="4" t="n"/>
      <c r="L10" s="4" t="n"/>
      <c r="M10" s="4">
        <f>IF(B10="CW",SUM(O10*850),0)</f>
        <v/>
      </c>
      <c r="N10" s="4">
        <f>IF(B10="CW",SUM(O10*150),0)</f>
        <v/>
      </c>
      <c r="O10" s="21">
        <f>(TRIM(LEFT(E10,FIND("x",E10)-1)) * TRIM(MID(E10,FIND("x",E10)+1,LEN(E10)))) / 1000000</f>
        <v/>
      </c>
      <c r="P10" s="4">
        <f t="array" ref="P10">SUM(F10*J10:K10)</f>
        <v/>
      </c>
      <c r="Q10" s="4" t="n"/>
    </row>
    <row r="11" customFormat="1" s="3">
      <c r="B11" s="4" t="inlineStr"/>
      <c r="C11" s="94" t="inlineStr">
        <is>
          <t>ALLOW - Automatic door operator package to west door (Part M/K: operator, safety sensors, int/ext push pads, isolating key switch, emergency release) - TBC with specialist</t>
        </is>
      </c>
      <c r="D11" s="90" t="n"/>
      <c r="E11" s="54" t="inlineStr">
        <is>
          <t>-</t>
        </is>
      </c>
      <c r="F11" s="91" t="n">
        <v>1</v>
      </c>
      <c r="G11" s="92" t="inlineStr">
        <is>
          <t>nr</t>
        </is>
      </c>
      <c r="H11" s="86" t="n">
        <v>3000</v>
      </c>
      <c r="I11" s="88">
        <f>SUM(H11*F11)</f>
        <v/>
      </c>
      <c r="J11" s="93" t="n"/>
      <c r="K11" s="4" t="n"/>
      <c r="L11" s="4" t="n"/>
      <c r="M11" s="4">
        <f>IF(B11="CW",SUM(O11*850),0)</f>
        <v/>
      </c>
      <c r="N11" s="4">
        <f>IF(B11="CW",SUM(O11*150),0)</f>
        <v/>
      </c>
      <c r="O11" s="21">
        <f>(TRIM(LEFT(E11,FIND("x",E11)-1)) * TRIM(MID(E11,FIND("x",E11)+1,LEN(E11)))) / 1000000</f>
        <v/>
      </c>
      <c r="P11" s="4">
        <f t="array" ref="P11">SUM(F11*J11:K11)</f>
        <v/>
      </c>
      <c r="Q11" s="4" t="n"/>
    </row>
    <row r="12" customFormat="1" s="3">
      <c r="B12" s="4" t="inlineStr"/>
      <c r="C12" s="94" t="inlineStr">
        <is>
          <t>ALLOW - Solar control glazing uplift: Pilkington Optitherm S1 solar Arctic Blue outer / Optitherm S1 plus inner, 23.5m2 @ GBP35/m2</t>
        </is>
      </c>
      <c r="D12" s="90" t="n"/>
      <c r="E12" s="54" t="inlineStr">
        <is>
          <t>-</t>
        </is>
      </c>
      <c r="F12" s="91" t="n">
        <v>1</v>
      </c>
      <c r="G12" s="92" t="inlineStr">
        <is>
          <t>nr</t>
        </is>
      </c>
      <c r="H12" s="86" t="n">
        <v>822</v>
      </c>
      <c r="I12" s="88">
        <f>SUM(H12*F12)</f>
        <v/>
      </c>
      <c r="J12" s="93" t="n"/>
      <c r="K12" s="4" t="n"/>
      <c r="L12" s="4" t="n"/>
      <c r="M12" s="4">
        <f>IF(B12="CW",SUM(O12*850),0)</f>
        <v/>
      </c>
      <c r="N12" s="4">
        <f>IF(B12="CW",SUM(O12*150),0)</f>
        <v/>
      </c>
      <c r="O12" s="21">
        <f>(TRIM(LEFT(E12,FIND("x",E12)-1)) * TRIM(MID(E12,FIND("x",E12)+1,LEN(E12)))) / 1000000</f>
        <v/>
      </c>
      <c r="P12" s="4">
        <f t="array" ref="P12">SUM(F12*J12:K12)</f>
        <v/>
      </c>
      <c r="Q12" s="4" t="n"/>
    </row>
    <row r="13" ht="30" customFormat="1" customHeight="1" s="3">
      <c r="B13" s="4" t="inlineStr"/>
      <c r="C13" s="95" t="inlineStr">
        <is>
          <t>ALLOW - 'Fish symbol' manifestations to all new south/west glazing per spec 3.11.2 (client artwork)</t>
        </is>
      </c>
      <c r="D13" s="90" t="n"/>
      <c r="E13" s="54" t="inlineStr">
        <is>
          <t>-</t>
        </is>
      </c>
      <c r="F13" s="91" t="n">
        <v>1</v>
      </c>
      <c r="G13" s="92" t="inlineStr">
        <is>
          <t>nr</t>
        </is>
      </c>
      <c r="H13" s="86" t="n">
        <v>250</v>
      </c>
      <c r="I13" s="88">
        <f>SUM(H13*F13)</f>
        <v/>
      </c>
      <c r="J13" s="93" t="n"/>
      <c r="K13" s="4" t="n"/>
      <c r="L13" s="4" t="n"/>
      <c r="M13" s="4">
        <f>IF(B13="CW",SUM(O13*850),0)</f>
        <v/>
      </c>
      <c r="N13" s="4">
        <f>IF(B13="CW",SUM(O13*150),0)</f>
        <v/>
      </c>
      <c r="O13" s="21">
        <f>(TRIM(LEFT(E13,FIND("x",E13)-1)) * TRIM(MID(E13,FIND("x",E13)+1,LEN(E13)))) / 1000000</f>
        <v/>
      </c>
      <c r="P13" s="4">
        <f t="array" ref="P13">SUM(F13*J13:K13)</f>
        <v/>
      </c>
      <c r="Q13" s="4" t="n"/>
    </row>
    <row r="14" ht="36" customFormat="1" customHeight="1" s="3">
      <c r="B14" s="4" t="n"/>
      <c r="C14" s="95" t="n"/>
      <c r="D14" s="90" t="n"/>
      <c r="E14" s="54" t="n"/>
      <c r="F14" s="96" t="n"/>
      <c r="G14" s="92" t="n"/>
      <c r="H14" s="86">
        <f>IF(B14="CW",
M14,
J14+K14+L14+
IF(B14="SUPD",1000*75%,
IF(B14="DUPD",1500*75%,
IF(B14="SAD",1200*75%,
IF(B14="DAD",2000*75%,
IF(B14="ELAW",850*75%,
IF(B14="LAW",650*75%,
IF(B14="MAW",550*75%,
IF(B14="SAW",450*75%,
IF(B14="LPVC",450*75%,
IF(B14="MPVC",400*75%,
IF(B14="SPVC",350*75%,
IF(B14="SADLAW",2000*75%,
IF(B14="SADMAW",1900*75%,
IF(B14="SADSAW",1700*75%,0)))))))))))))))</f>
        <v/>
      </c>
      <c r="I14" s="88">
        <f>SUM(H14*F14)</f>
        <v/>
      </c>
      <c r="J14" s="93" t="n"/>
      <c r="K14" s="4" t="n"/>
      <c r="L14" s="4" t="n"/>
      <c r="M14" s="4">
        <f>IF(B14="CW",SUM(O14*850),0)</f>
        <v/>
      </c>
      <c r="N14" s="4">
        <f>IF(B14="CW",SUM(O14*150),0)</f>
        <v/>
      </c>
      <c r="O14" s="21">
        <f>(TRIM(LEFT(E14,FIND("x",E14)-1)) * TRIM(MID(E14,FIND("x",E14)+1,LEN(E14)))) / 1000000</f>
        <v/>
      </c>
      <c r="P14" s="4">
        <f t="array" ref="P14">SUM(F14*J14:K14)</f>
        <v/>
      </c>
      <c r="Q14" s="4" t="n"/>
    </row>
    <row r="15" customFormat="1" s="3">
      <c r="B15" s="4" t="n"/>
      <c r="C15" s="97" t="n"/>
      <c r="D15" s="90" t="n"/>
      <c r="E15" s="54" t="n"/>
      <c r="F15" s="96" t="n"/>
      <c r="G15" s="92" t="n"/>
      <c r="H15" s="86">
        <f>IF(B15="CW",
M15,
J15+K15+L15+
IF(B15="SUPD",1000*75%,
IF(B15="DUPD",1500*75%,
IF(B15="SAD",1200*75%,
IF(B15="DAD",2000*75%,
IF(B15="ELAW",850*75%,
IF(B15="LAW",650*75%,
IF(B15="MAW",550*75%,
IF(B15="SAW",450*75%,
IF(B15="LPVC",450*75%,
IF(B15="MPVC",400*75%,
IF(B15="SPVC",350*75%,
IF(B15="SADLAW",2000*75%,
IF(B15="SADMAW",1900*75%,
IF(B15="SADSAW",1700*75%,0)))))))))))))))</f>
        <v/>
      </c>
      <c r="I15" s="88">
        <f>SUM(H15*F15)</f>
        <v/>
      </c>
      <c r="J15" s="93" t="n"/>
      <c r="K15" s="4" t="n"/>
      <c r="L15" s="4" t="n"/>
      <c r="M15" s="4">
        <f>IF(B15="CW",SUM(O15*850),0)</f>
        <v/>
      </c>
      <c r="N15" s="4">
        <f>IF(B15="CW",SUM(O15*150),0)</f>
        <v/>
      </c>
      <c r="O15" s="21">
        <f>(TRIM(LEFT(E15,FIND("x",E15)-1)) * TRIM(MID(E15,FIND("x",E15)+1,LEN(E15)))) / 1000000</f>
        <v/>
      </c>
      <c r="P15" s="4">
        <f t="array" ref="P15">SUM(F15*J15:K15)</f>
        <v/>
      </c>
      <c r="Q15" s="4" t="n"/>
    </row>
    <row r="16" customFormat="1" s="3">
      <c r="B16" s="4" t="n"/>
      <c r="C16" s="95" t="n"/>
      <c r="D16" s="90" t="n"/>
      <c r="E16" s="54" t="n"/>
      <c r="F16" s="96" t="n"/>
      <c r="G16" s="92" t="n"/>
      <c r="H16" s="86">
        <f>IF(B16="CW",
M16,
J16+K16+L16+
IF(B16="SUPD",1000*75%,
IF(B16="DUPD",1500*75%,
IF(B16="SAD",1200*75%,
IF(B16="DAD",2000*75%,
IF(B16="ELAW",850*75%,
IF(B16="LAW",650*75%,
IF(B16="MAW",550*75%,
IF(B16="SAW",450*75%,
IF(B16="LPVC",450*75%,
IF(B16="MPVC",400*75%,
IF(B16="SPVC",350*75%,
IF(B16="SADLAW",2000*75%,
IF(B16="SADMAW",1900*75%,
IF(B16="SADSAW",1700*75%,0)))))))))))))))</f>
        <v/>
      </c>
      <c r="I16" s="88">
        <f>SUM(H16*F16)</f>
        <v/>
      </c>
      <c r="J16" s="93" t="n"/>
      <c r="K16" s="4" t="n"/>
      <c r="L16" s="4" t="n"/>
      <c r="M16" s="4">
        <f>IF(B16="CW",SUM(O16*850),0)</f>
        <v/>
      </c>
      <c r="N16" s="4">
        <f>IF(B16="CW",SUM(O16*150),0)</f>
        <v/>
      </c>
      <c r="O16" s="21">
        <f>(TRIM(LEFT(E16,FIND("x",E16)-1)) * TRIM(MID(E16,FIND("x",E16)+1,LEN(E16)))) / 1000000</f>
        <v/>
      </c>
      <c r="P16" s="4">
        <f t="array" ref="P16">SUM(F16*J16:K16)</f>
        <v/>
      </c>
      <c r="Q16" s="4" t="n"/>
    </row>
    <row r="17" customFormat="1" s="3">
      <c r="B17" s="4" t="n"/>
      <c r="C17" s="95" t="n"/>
      <c r="D17" s="90" t="n"/>
      <c r="E17" s="54" t="n"/>
      <c r="F17" s="96" t="n"/>
      <c r="G17" s="92" t="n"/>
      <c r="H17" s="86">
        <f>IF(B17="CW",
M17,
J17+K17+L17+
IF(B17="SUPD",1000*75%,
IF(B17="DUPD",1500*75%,
IF(B17="SAD",1200*75%,
IF(B17="DAD",2000*75%,
IF(B17="ELAW",850*75%,
IF(B17="LAW",650*75%,
IF(B17="MAW",550*75%,
IF(B17="SAW",450*75%,
IF(B17="LPVC",450*75%,
IF(B17="MPVC",400*75%,
IF(B17="SPVC",350*75%,
IF(B17="SADLAW",2000*75%,
IF(B17="SADMAW",1900*75%,
IF(B17="SADSAW",1700*75%,0)))))))))))))))</f>
        <v/>
      </c>
      <c r="I17" s="88">
        <f>SUM(H17*F17)</f>
        <v/>
      </c>
      <c r="J17" s="93" t="n"/>
      <c r="K17" s="4" t="n"/>
      <c r="L17" s="4" t="n"/>
      <c r="M17" s="4">
        <f>IF(B17="CW",SUM(O17*850),0)</f>
        <v/>
      </c>
      <c r="N17" s="4">
        <f>IF(B17="CW",SUM(O17*150),0)</f>
        <v/>
      </c>
      <c r="O17" s="21">
        <f>(TRIM(LEFT(E17,FIND("x",E17)-1)) * TRIM(MID(E17,FIND("x",E17)+1,LEN(E17)))) / 1000000</f>
        <v/>
      </c>
      <c r="P17" s="4">
        <f t="array" ref="P17">SUM(F17*J17:K17)</f>
        <v/>
      </c>
      <c r="Q17" s="4" t="n"/>
    </row>
    <row r="18" customFormat="1" s="3">
      <c r="B18" s="4" t="n"/>
      <c r="C18" s="95" t="n"/>
      <c r="D18" s="90" t="n"/>
      <c r="E18" s="54" t="n"/>
      <c r="F18" s="96" t="n"/>
      <c r="G18" s="92" t="n"/>
      <c r="H18" s="86">
        <f>IF(B18="CW",
M18,
J18+K18+L18+
IF(B18="SUPD",1000*75%,
IF(B18="DUPD",1500*75%,
IF(B18="SAD",1200*75%,
IF(B18="DAD",2000*75%,
IF(B18="ELAW",850*75%,
IF(B18="LAW",650*75%,
IF(B18="MAW",550*75%,
IF(B18="SAW",450*75%,
IF(B18="LPVC",450*75%,
IF(B18="MPVC",400*75%,
IF(B18="SPVC",350*75%,
IF(B18="SADLAW",2000*75%,
IF(B18="SADMAW",1900*75%,
IF(B18="SADSAW",1700*75%,0)))))))))))))))</f>
        <v/>
      </c>
      <c r="I18" s="88">
        <f>SUM(H18*F18)</f>
        <v/>
      </c>
      <c r="J18" s="93" t="n"/>
      <c r="K18" s="4" t="n"/>
      <c r="L18" s="4" t="n"/>
      <c r="M18" s="4">
        <f>IF(B18="CW",SUM(O18*850),0)</f>
        <v/>
      </c>
      <c r="N18" s="4">
        <f>IF(B18="CW",SUM(O18*150),0)</f>
        <v/>
      </c>
      <c r="O18" s="21">
        <f>(TRIM(LEFT(E18,FIND("x",E18)-1)) * TRIM(MID(E18,FIND("x",E18)+1,LEN(E18)))) / 1000000</f>
        <v/>
      </c>
      <c r="P18" s="4">
        <f t="array" ref="P18">SUM(F18*J18:K18)</f>
        <v/>
      </c>
      <c r="Q18" s="4" t="n"/>
    </row>
    <row r="19" customFormat="1" s="3">
      <c r="B19" s="4" t="n"/>
      <c r="C19" s="97" t="n"/>
      <c r="D19" s="90" t="n"/>
      <c r="E19" s="54" t="n"/>
      <c r="F19" s="96" t="n"/>
      <c r="G19" s="92" t="n"/>
      <c r="H19" s="86">
        <f>IF(B19="CW",
M19,
J19+K19+L19+
IF(B19="SUPD",1000*75%,
IF(B19="DUPD",1500*75%,
IF(B19="SAD",1200*75%,
IF(B19="DAD",2000*75%,
IF(B19="ELAW",850*75%,
IF(B19="LAW",650*75%,
IF(B19="MAW",550*75%,
IF(B19="SAW",450*75%,
IF(B19="LPVC",450*75%,
IF(B19="MPVC",400*75%,
IF(B19="SPVC",350*75%,
IF(B19="SADLAW",2000*75%,
IF(B19="SADMAW",1900*75%,
IF(B19="SADSAW",1700*75%,0)))))))))))))))</f>
        <v/>
      </c>
      <c r="I19" s="88">
        <f>SUM(H19*F19)</f>
        <v/>
      </c>
      <c r="J19" s="93" t="n"/>
      <c r="K19" s="4" t="n"/>
      <c r="L19" s="4" t="n"/>
      <c r="M19" s="4">
        <f>IF(B19="CW",SUM(O19*850),0)</f>
        <v/>
      </c>
      <c r="N19" s="4">
        <f>IF(B19="CW",SUM(O19*150),0)</f>
        <v/>
      </c>
      <c r="O19" s="57">
        <f>(TRIM(LEFT(E19,FIND("x",E19)-1)) * TRIM(MID(E19,FIND("x",E19)+1,LEN(E19)))) / 1000000</f>
        <v/>
      </c>
      <c r="P19" s="4">
        <f t="array" ref="P19">SUM(F19*J19:K19)</f>
        <v/>
      </c>
      <c r="Q19" s="4" t="n"/>
    </row>
    <row r="20" ht="39.75" customFormat="1" customHeight="1" s="3" thickBot="1">
      <c r="B20" s="4" t="n"/>
      <c r="C20" s="98" t="n"/>
      <c r="D20" s="99" t="n"/>
      <c r="E20" s="63" t="n"/>
      <c r="F20" s="96" t="n"/>
      <c r="G20" s="92" t="n"/>
      <c r="H20" s="86">
        <f>IF(B20="CW",
M20,
J20+K20+L20+
IF(B20="SUPD",1000*75%,
IF(B20="DUPD",1500*75%,
IF(B20="SAD",1200*75%,
IF(B20="DAD",2000*75%,
IF(B20="ELAW",850*75%,
IF(B20="LAW",650*75%,
IF(B20="MAW",550*75%,
IF(B20="SAW",450*75%,
IF(B20="LPVC",450*75%,
IF(B20="MPVC",400*75%,
IF(B20="SPVC",350*75%,
IF(B20="SADLAW",2000*75%,
IF(B20="SADMAW",1900*75%,
IF(B20="SADSAW",1700*75%,0)))))))))))))))</f>
        <v/>
      </c>
      <c r="I20" s="88">
        <f>SUM(H20*F20)</f>
        <v/>
      </c>
      <c r="J20" s="93" t="n"/>
      <c r="K20" s="4" t="n"/>
      <c r="L20" s="4" t="n"/>
      <c r="M20" s="4">
        <f>IF(B20="CW",SUM(O20*850),0)</f>
        <v/>
      </c>
      <c r="N20" s="4">
        <f>IF(B20="CW",SUM(O20*150),0)</f>
        <v/>
      </c>
      <c r="O20" s="57">
        <f>(TRIM(LEFT(E20,FIND("x",E20)-1)) * TRIM(MID(E20,FIND("x",E20)+1,LEN(E20)))) / 1000000</f>
        <v/>
      </c>
      <c r="P20" s="4">
        <f>SUM(P9:P19)</f>
        <v/>
      </c>
      <c r="Q20" s="4" t="n"/>
    </row>
    <row r="21" ht="15" customFormat="1" customHeight="1" s="3">
      <c r="C21" s="100" t="n"/>
      <c r="D21" s="101" t="n"/>
      <c r="E21" s="102" t="n"/>
      <c r="F21" s="102" t="n"/>
      <c r="G21" s="101" t="inlineStr">
        <is>
          <t>INSTALLATION</t>
        </is>
      </c>
      <c r="H21" s="103" t="n"/>
      <c r="I21" s="104">
        <f t="array" ref="I21">SUMPRODUCT((B9:B20="CW")*F9:F20*N9:N20)+SUMPRODUCT(F9:F20*IF(B9:B20="SUPD",250,IF(B9:B20="DUPD",500,IF(B9:B20="SAD",250,IF(B9:B20="DAD",500,IF(B9:B20="ELAW",250,IF(B9:B20="LAW",160,IF(B9:B20="MAW",160,IF(B9:B20="SAW",160,IF(B9:B20="LPVC",160,IF(B9:B20="MPVC",160,IF(B9:B20="SPVC",160,IF(B9:B20="SADLAW",410,IF(B9:B20="SADMAW",410,IF(B9:B20="SADSAW",410,0)))))))))))))))</f>
        <v/>
      </c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15" customFormat="1" customHeight="1" s="3">
      <c r="C22" s="105" t="n"/>
      <c r="D22" s="106" t="n"/>
      <c r="E22" s="107" t="n"/>
      <c r="F22" s="107" t="n"/>
      <c r="G22" s="107" t="n"/>
      <c r="H22" s="107" t="n"/>
      <c r="I22" s="108" t="n"/>
      <c r="J22" s="4" t="n"/>
      <c r="K22" s="4" t="inlineStr">
        <is>
          <t xml:space="preserve">   </t>
        </is>
      </c>
      <c r="L22" s="4" t="n"/>
      <c r="M22" s="4" t="n"/>
      <c r="N22" s="4" t="n"/>
      <c r="O22" s="4" t="n"/>
      <c r="P22" s="4" t="n"/>
      <c r="Q22" s="4" t="n"/>
    </row>
    <row r="23" ht="13.8" customFormat="1" customHeight="1" s="3">
      <c r="C23" s="40" t="n"/>
      <c r="D23" s="30" t="n"/>
      <c r="E23" s="30" t="n"/>
      <c r="F23" s="107" t="n"/>
      <c r="G23" s="107" t="n"/>
      <c r="H23" s="107" t="inlineStr">
        <is>
          <t>TOTAL*</t>
        </is>
      </c>
      <c r="I23" s="109">
        <f>SUM(I9:I13)+I21</f>
        <v/>
      </c>
      <c r="J23" s="4" t="n"/>
      <c r="K23" s="4" t="n"/>
      <c r="L23" s="4" t="n"/>
      <c r="M23" s="4" t="n"/>
      <c r="N23" s="4" t="n"/>
      <c r="O23" s="4" t="n"/>
      <c r="P23" s="4" t="n"/>
      <c r="Q23" s="4" t="n"/>
    </row>
    <row r="24" customFormat="1" s="3" thickBot="1">
      <c r="C24" s="45" t="n"/>
      <c r="D24" s="32" t="n"/>
      <c r="E24" s="32" t="n"/>
      <c r="F24" s="110" t="n"/>
      <c r="G24" s="110" t="n"/>
      <c r="H24" s="110" t="n"/>
      <c r="I24" s="111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5.4" customFormat="1" customHeight="1" s="3" thickBot="1"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15.6" customFormat="1" customHeight="1" s="3">
      <c r="C26" s="36" t="n"/>
      <c r="D26" s="61" t="inlineStr">
        <is>
          <t>OPTIONAL</t>
        </is>
      </c>
      <c r="E26" s="37" t="n"/>
      <c r="F26" s="102" t="n"/>
      <c r="G26" s="102" t="n"/>
      <c r="H26" s="102" t="n"/>
      <c r="I26" s="112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customFormat="1" s="3">
      <c r="C27" s="40" t="n"/>
      <c r="D27" s="41" t="n"/>
      <c r="E27" s="42" t="n"/>
      <c r="F27" s="113" t="inlineStr">
        <is>
          <t>EXTERNAL MASTIC</t>
        </is>
      </c>
      <c r="I27" s="108" t="n">
        <v>143</v>
      </c>
      <c r="J27" s="4" t="n"/>
      <c r="K27" s="4" t="n"/>
      <c r="L27" s="4" t="n"/>
      <c r="M27" s="4" t="n"/>
      <c r="N27" s="4" t="n"/>
      <c r="O27" s="4" t="n"/>
      <c r="P27" s="4" t="n"/>
      <c r="Q27" s="4" t="n"/>
    </row>
    <row r="28" customFormat="1" s="3">
      <c r="C28" s="40" t="n"/>
      <c r="D28" s="41" t="n"/>
      <c r="E28" s="42" t="n"/>
      <c r="F28" s="113" t="inlineStr">
        <is>
          <t>EDPM</t>
        </is>
      </c>
      <c r="I28" s="108" t="n">
        <v>587</v>
      </c>
      <c r="J28" s="4" t="n"/>
      <c r="K28" s="4" t="n"/>
      <c r="L28" s="4" t="n"/>
      <c r="M28" s="4" t="inlineStr">
        <is>
          <t xml:space="preserve"> </t>
        </is>
      </c>
      <c r="N28" s="4" t="n"/>
      <c r="O28" s="4" t="n"/>
      <c r="P28" s="4" t="n"/>
      <c r="Q28" s="4" t="n"/>
    </row>
    <row r="29" ht="18.6" customFormat="1" customHeight="1" s="3" thickBot="1">
      <c r="C29" s="45" t="n"/>
      <c r="D29" s="46" t="n"/>
      <c r="E29" s="46" t="n"/>
      <c r="F29" s="46" t="n"/>
      <c r="G29" s="46" t="n"/>
      <c r="H29" s="46" t="n"/>
      <c r="I29" s="47" t="n"/>
      <c r="J29" s="4" t="n"/>
      <c r="K29" s="5" t="n"/>
      <c r="L29" s="4" t="n"/>
      <c r="M29" s="4" t="n"/>
      <c r="N29" s="4" t="n"/>
      <c r="O29" s="4" t="n"/>
      <c r="P29" s="4" t="n"/>
      <c r="Q29" s="4" t="n"/>
    </row>
    <row r="30">
      <c r="C30" s="24" t="inlineStr">
        <is>
          <t xml:space="preserve">* Total value excluding VAT. </t>
        </is>
      </c>
      <c r="D30" s="20" t="n"/>
      <c r="E30" s="20" t="n"/>
    </row>
    <row r="31">
      <c r="C31" s="25" t="inlineStr">
        <is>
          <t>** This pricing document should be read in conjunction with the Terms and Conditions.</t>
        </is>
      </c>
      <c r="D31" s="20" t="n"/>
      <c r="E31" s="20" t="n"/>
    </row>
    <row r="32">
      <c r="C32" s="23" t="n"/>
      <c r="D32" s="20" t="n"/>
      <c r="E32" s="20" t="n"/>
    </row>
    <row r="33">
      <c r="C33" s="23" t="n"/>
      <c r="D33" s="20" t="n"/>
      <c r="E33" s="20" t="n"/>
    </row>
    <row r="34">
      <c r="C34" s="23" t="n"/>
      <c r="D34" s="20" t="n"/>
      <c r="E34" s="20" t="n"/>
    </row>
    <row r="35">
      <c r="C35" s="23" t="n"/>
      <c r="D35" s="20" t="n"/>
      <c r="E35" s="20" t="n"/>
    </row>
  </sheetData>
  <mergeCells count="17">
    <mergeCell ref="G21:H21"/>
    <mergeCell ref="C12:D12"/>
    <mergeCell ref="C20:D20"/>
    <mergeCell ref="C7:D7"/>
    <mergeCell ref="F28:H28"/>
    <mergeCell ref="C16:D16"/>
    <mergeCell ref="C10:D10"/>
    <mergeCell ref="C15:D15"/>
    <mergeCell ref="C11:D11"/>
    <mergeCell ref="F27:H27"/>
    <mergeCell ref="C19:D19"/>
    <mergeCell ref="C14:D14"/>
    <mergeCell ref="C13:D13"/>
    <mergeCell ref="C9:D9"/>
    <mergeCell ref="C17:D17"/>
    <mergeCell ref="C18:D18"/>
    <mergeCell ref="C8:D8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Fenster Glazing</dc:creator>
  <dcterms:created xmlns:dcterms="http://purl.org/dc/terms/" xmlns:xsi="http://www.w3.org/2001/XMLSchema-instance" xsi:type="dcterms:W3CDTF">2018-12-07T08:13:03Z</dcterms:created>
  <dcterms:modified xmlns:dcterms="http://purl.org/dc/terms/" xmlns:xsi="http://www.w3.org/2001/XMLSchema-instance" xsi:type="dcterms:W3CDTF">2026-07-24T15:35:40Z</dcterms:modified>
  <cp:lastModifiedBy>Fenster Glazing</cp:lastModifiedBy>
</cp:coreProperties>
</file>