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Document" sheetId="1" state="visible" r:id="rId3"/>
    <sheet name="Summary" sheetId="2" state="visible" r:id="rId4"/>
    <sheet name="Pricing Review" sheetId="3" state="visible" r:id="rId5"/>
    <sheet name="Assumptions &amp; Exclusions" sheetId="4" state="visible" r:id="rId6"/>
    <sheet name="RFIs &amp; Actions" sheetId="5" state="visible" r:id="rId7"/>
    <sheet name="Source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<sst xmlns="http://schemas.openxmlformats.org/spreadsheetml/2006/main" count="671" uniqueCount="245">
  <si>
    <t xml:space="preserve">Section</t>
  </si>
  <si>
    <t xml:space="preserve">Item Ref</t>
  </si>
  <si>
    <t xml:space="preserve">Location</t>
  </si>
  <si>
    <t xml:space="preserve">Description</t>
  </si>
  <si>
    <t xml:space="preserve">Material/System</t>
  </si>
  <si>
    <t xml:space="preserve">Width mm</t>
  </si>
  <si>
    <t xml:space="preserve">Height mm</t>
  </si>
  <si>
    <t xml:space="preserve">Qty</t>
  </si>
  <si>
    <t xml:space="preserve">Unit</t>
  </si>
  <si>
    <t xml:space="preserve">Supplier Quote Reference</t>
  </si>
  <si>
    <t xml:space="preserve">Supplier Cost ex VAT</t>
  </si>
  <si>
    <t xml:space="preserve">Code</t>
  </si>
  <si>
    <t xml:space="preserve">Code Markup</t>
  </si>
  <si>
    <t xml:space="preserve">Labour Allowance</t>
  </si>
  <si>
    <t xml:space="preserve">Sell Total ex VAT</t>
  </si>
  <si>
    <t xml:space="preserve">Notes</t>
  </si>
  <si>
    <t xml:space="preserve">Windows</t>
  </si>
  <si>
    <t xml:space="preserve">W0.02</t>
  </si>
  <si>
    <t xml:space="preserve">Ground floor</t>
  </si>
  <si>
    <t xml:space="preserve">Sheerline Prestige fixed casement 1700 x 2220 mm</t>
  </si>
  <si>
    <t xml:space="preserve">Sheerline Prestige, PPC 7016M Anthracite Grey, 6.8 lami/16 Argon/6 tough</t>
  </si>
  <si>
    <t xml:space="preserve">nr</t>
  </si>
  <si>
    <t xml:space="preserve">BSW QT251654</t>
  </si>
  <si>
    <t xml:space="preserve">MAW</t>
  </si>
  <si>
    <t xml:space="preserve">Lacobel black spandrel where shown on schedule</t>
  </si>
  <si>
    <t xml:space="preserve">W0.03</t>
  </si>
  <si>
    <t xml:space="preserve">W0.04</t>
  </si>
  <si>
    <t xml:space="preserve">W0.05</t>
  </si>
  <si>
    <t xml:space="preserve">W0.06</t>
  </si>
  <si>
    <t xml:space="preserve">W0.07</t>
  </si>
  <si>
    <t xml:space="preserve">W0.08</t>
  </si>
  <si>
    <t xml:space="preserve">W0.09</t>
  </si>
  <si>
    <t xml:space="preserve">W0.10</t>
  </si>
  <si>
    <t xml:space="preserve">W0.11</t>
  </si>
  <si>
    <t xml:space="preserve">W0.12</t>
  </si>
  <si>
    <t xml:space="preserve">Sheerline Prestige fixed casement 1450 x 1870 mm</t>
  </si>
  <si>
    <t xml:space="preserve">W0.13</t>
  </si>
  <si>
    <t xml:space="preserve">Sheerline Prestige fixed casement 760 x 2220 mm</t>
  </si>
  <si>
    <t xml:space="preserve">SAW</t>
  </si>
  <si>
    <t xml:space="preserve">W0.14</t>
  </si>
  <si>
    <t xml:space="preserve">Sheerline Prestige fixed casement 3150 x 2340 mm</t>
  </si>
  <si>
    <t xml:space="preserve">LAW</t>
  </si>
  <si>
    <t xml:space="preserve">W0.15</t>
  </si>
  <si>
    <t xml:space="preserve">Sheerline Prestige fixed casement 1220 x 915 mm</t>
  </si>
  <si>
    <t xml:space="preserve">W0.16</t>
  </si>
  <si>
    <t xml:space="preserve">Sheerline Prestige fixed casement 1700 x 1230 mm</t>
  </si>
  <si>
    <t xml:space="preserve">W0.17</t>
  </si>
  <si>
    <t xml:space="preserve">W0.19</t>
  </si>
  <si>
    <t xml:space="preserve">Sheerline Prestige fixed casement 1150 x 500 mm</t>
  </si>
  <si>
    <t xml:space="preserve">W0.20</t>
  </si>
  <si>
    <t xml:space="preserve">W0.21</t>
  </si>
  <si>
    <t xml:space="preserve">Sheerline Prestige fixed casement 1600 x 500 mm</t>
  </si>
  <si>
    <t xml:space="preserve">W0.22</t>
  </si>
  <si>
    <t xml:space="preserve">W0.23</t>
  </si>
  <si>
    <t xml:space="preserve">Sheerline Prestige fixed casement 1695 x 500 mm</t>
  </si>
  <si>
    <t xml:space="preserve">W0.24</t>
  </si>
  <si>
    <t xml:space="preserve">W0.25</t>
  </si>
  <si>
    <t xml:space="preserve">W0.26</t>
  </si>
  <si>
    <t xml:space="preserve">W0.27</t>
  </si>
  <si>
    <t xml:space="preserve">W0.28</t>
  </si>
  <si>
    <t xml:space="preserve">W0.29</t>
  </si>
  <si>
    <t xml:space="preserve">Sheerline Prestige fixed casement 1610 x 500 mm</t>
  </si>
  <si>
    <t xml:space="preserve">W0.30</t>
  </si>
  <si>
    <t xml:space="preserve">W1.01</t>
  </si>
  <si>
    <t xml:space="preserve">First floor</t>
  </si>
  <si>
    <t xml:space="preserve">Sheerline Prestige fixed casement 1710 x 2230 mm</t>
  </si>
  <si>
    <t xml:space="preserve">W1.02</t>
  </si>
  <si>
    <t xml:space="preserve">Sheerline Prestige fixed casement 1700 x 2200 mm</t>
  </si>
  <si>
    <t xml:space="preserve">W1.03</t>
  </si>
  <si>
    <t xml:space="preserve">W1.04</t>
  </si>
  <si>
    <t xml:space="preserve">W1.05</t>
  </si>
  <si>
    <t xml:space="preserve">W1.06</t>
  </si>
  <si>
    <t xml:space="preserve">Sheerline Prestige fixed casement 1380 x 1430 mm</t>
  </si>
  <si>
    <t xml:space="preserve">W1.07</t>
  </si>
  <si>
    <t xml:space="preserve">Sheerline Prestige fixed casement 1700 x 2160 mm</t>
  </si>
  <si>
    <t xml:space="preserve">W1.08</t>
  </si>
  <si>
    <t xml:space="preserve">W1.09</t>
  </si>
  <si>
    <t xml:space="preserve">Sheerline Prestige fixed casement 1370 x 1440 mm</t>
  </si>
  <si>
    <t xml:space="preserve">W1.10</t>
  </si>
  <si>
    <t xml:space="preserve">Sheerline Prestige fixed casement 1700 x 2150 mm</t>
  </si>
  <si>
    <t xml:space="preserve">W1.11</t>
  </si>
  <si>
    <t xml:space="preserve">W1.12</t>
  </si>
  <si>
    <t xml:space="preserve">W1.13</t>
  </si>
  <si>
    <t xml:space="preserve">W1.14</t>
  </si>
  <si>
    <t xml:space="preserve">Sheerline Prestige fixed casement 760 x 2130 mm</t>
  </si>
  <si>
    <t xml:space="preserve">W1.15</t>
  </si>
  <si>
    <t xml:space="preserve">Sheerline Prestige fixed casement 4325 x 2340 mm</t>
  </si>
  <si>
    <t xml:space="preserve">W1.16</t>
  </si>
  <si>
    <t xml:space="preserve">Sheerline Prestige fixed casement 1720 x 2240 mm</t>
  </si>
  <si>
    <t xml:space="preserve">W1.17</t>
  </si>
  <si>
    <t xml:space="preserve">W1.18</t>
  </si>
  <si>
    <t xml:space="preserve">W1.19</t>
  </si>
  <si>
    <t xml:space="preserve">Sheerline Prestige fixed casement 2350 x 2200 mm</t>
  </si>
  <si>
    <t xml:space="preserve">External doors</t>
  </si>
  <si>
    <t xml:space="preserve">D0.01</t>
  </si>
  <si>
    <t xml:space="preserve">Entrance lobby</t>
  </si>
  <si>
    <t xml:space="preserve">Double Pivoted Anti Fingertrap Door 2075 x 2350 mm</t>
  </si>
  <si>
    <t xml:space="preserve">Bellview SMA Smart Wall, Anthracite Grey, 6.8 lami / 6 tough</t>
  </si>
  <si>
    <t xml:space="preserve">Bellview 0000000427 (net of 15% discount)</t>
  </si>
  <si>
    <t xml:space="preserve">DAD</t>
  </si>
  <si>
    <t xml:space="preserve">D0.02</t>
  </si>
  <si>
    <t xml:space="preserve">Single Pivoted Anti Fingertrap Door 640 x 2330 mm</t>
  </si>
  <si>
    <t xml:space="preserve">SAD</t>
  </si>
  <si>
    <t xml:space="preserve">Architect schedule shows spandrel + fixed glazed upper panel; confirm configuration</t>
  </si>
  <si>
    <t xml:space="preserve">D0.03</t>
  </si>
  <si>
    <t xml:space="preserve">Male WC</t>
  </si>
  <si>
    <t xml:space="preserve">Double Pivoted Door + Fixed Field 1720 x 2970 mm</t>
  </si>
  <si>
    <t xml:space="preserve">Double door with fixed field: no combined double code; DAD used, fixed field in supplier price</t>
  </si>
  <si>
    <t xml:space="preserve">D0.04</t>
  </si>
  <si>
    <t xml:space="preserve">Plant</t>
  </si>
  <si>
    <t xml:space="preserve">Double Pivoted Door + Fixed Field 1700 x 2960 mm</t>
  </si>
  <si>
    <t xml:space="preserve">Double door with fixed field: DAD used</t>
  </si>
  <si>
    <t xml:space="preserve">D0.05</t>
  </si>
  <si>
    <t xml:space="preserve">Male changing</t>
  </si>
  <si>
    <t xml:space="preserve">Double Pivoted Door + Fixed Field 1700 x 2970 mm</t>
  </si>
  <si>
    <t xml:space="preserve">D0.06</t>
  </si>
  <si>
    <t xml:space="preserve">Corridor</t>
  </si>
  <si>
    <t xml:space="preserve">Single Pivoted Anti Fingertrap Door 900 x 2380 mm</t>
  </si>
  <si>
    <t xml:space="preserve">D0.07</t>
  </si>
  <si>
    <t xml:space="preserve">Plant electrical</t>
  </si>
  <si>
    <t xml:space="preserve">Double Pivoted Anti Fingertrap Door 1700 x 2370 mm</t>
  </si>
  <si>
    <t xml:space="preserve">D1.01</t>
  </si>
  <si>
    <t xml:space="preserve">Escape stairs</t>
  </si>
  <si>
    <t xml:space="preserve">Single Pivoted Anti Fingertrap Door 900 x 2350 mm</t>
  </si>
  <si>
    <t xml:space="preserve">D1.02</t>
  </si>
  <si>
    <t xml:space="preserve">Single Pivoted Door + Fixed Field 1740 x 2360 mm</t>
  </si>
  <si>
    <t xml:space="preserve">SADMAW</t>
  </si>
  <si>
    <t xml:space="preserve">Single door + fixed field, area 4.1m2 -&gt; SADMAW combined code</t>
  </si>
  <si>
    <t xml:space="preserve">D1.03</t>
  </si>
  <si>
    <t xml:space="preserve">Escape stairs / plant</t>
  </si>
  <si>
    <t xml:space="preserve">Double Pivoted Anti Fingertrap Door 1700 x 2360 mm</t>
  </si>
  <si>
    <t xml:space="preserve">Active leaf not to block stairs; shoot bolts to passive leaf</t>
  </si>
  <si>
    <t xml:space="preserve">TOTALS</t>
  </si>
  <si>
    <t xml:space="preserve">Willesden Junction Depot (Willesden MDU, Network Rail) - Commercial Position</t>
  </si>
  <si>
    <t xml:space="preserve">Basis</t>
  </si>
  <si>
    <t xml:space="preserve">Supplier-backed pricing using BSW Window Solutions (Sheerline) windows quote QT251654 and Bellview Products doors quote 0000000427, both dated 26/06/2026, cross-checked against RPS drawing 30946-RPS-XX-ZZ-DR-A-5006_P04 Window and Door Schedules.</t>
  </si>
  <si>
    <t xml:space="preserve">Supplier material cost ex VAT (BSW windows)</t>
  </si>
  <si>
    <t xml:space="preserve">Supplier material cost ex VAT (Bellview doors, net of 15% discount)</t>
  </si>
  <si>
    <t xml:space="preserve">Supplier cost total ex VAT</t>
  </si>
  <si>
    <t xml:space="preserve">Fenster code markup</t>
  </si>
  <si>
    <t xml:space="preserve">Fenster labour allowance</t>
  </si>
  <si>
    <t xml:space="preserve">Sell total ex VAT</t>
  </si>
  <si>
    <t xml:space="preserve">VAT at 20% if applicable</t>
  </si>
  <si>
    <t xml:space="preserve">Total inc VAT if applicable</t>
  </si>
  <si>
    <t xml:space="preserve">Excluded / TBC</t>
  </si>
  <si>
    <t xml:space="preserve">W0.01 steel FR 30-min window; W2.01-W2.06 rooflights (6 nr); internal doors D0.21-D0.40 &amp; D1.21-D1.40; PAS24 confirmation outstanding.</t>
  </si>
  <si>
    <t xml:space="preserve">Estimator note</t>
  </si>
  <si>
    <t xml:space="preserve">Supplier-backed package. Quotes valid 30 days from 26/06/2026. PAS24 not evidenced in either supplier quote despite RFQ requirement - resolve before issue.</t>
  </si>
  <si>
    <t xml:space="preserve">Tender Item</t>
  </si>
  <si>
    <t xml:space="preserve">Fenster Pricing Item</t>
  </si>
  <si>
    <t xml:space="preserve">Covered?</t>
  </si>
  <si>
    <t xml:space="preserve">Risk/Query</t>
  </si>
  <si>
    <t xml:space="preserve">Action Required</t>
  </si>
  <si>
    <t xml:space="preserve">Aluminium windows W0.02-W1.19 (47 nr)</t>
  </si>
  <si>
    <t xml:space="preserve">BSW QT251654 - 47 itemised lines, sum matches quote total £33,608.98</t>
  </si>
  <si>
    <t xml:space="preserve">47 window rows coded SAW/MAW/LAW</t>
  </si>
  <si>
    <t xml:space="preserve">Yes</t>
  </si>
  <si>
    <t xml:space="preserve">Quote is Sheerline Prestige, not Senior SPW600 as per RFQ ("or equal approved")</t>
  </si>
  <si>
    <t xml:space="preserve">Confirm client accepts Sheerline as equal approved</t>
  </si>
  <si>
    <t xml:space="preserve">External doors D0.01-D0.07, D1.01-D1.03 (10 nr)</t>
  </si>
  <si>
    <t xml:space="preserve">Bellview 0000000427 - 10 positions, gross £39,674.21 less 15% = £33,723.08</t>
  </si>
  <si>
    <t xml:space="preserve">10 door rows coded DAD/SAD/SADMAW</t>
  </si>
  <si>
    <t xml:space="preserve">Quote is SMA Smart Wall, not Senior SPW501 as per RFQ</t>
  </si>
  <si>
    <t xml:space="preserve">Confirm system acceptance</t>
  </si>
  <si>
    <t xml:space="preserve">PAS24 windows and doors</t>
  </si>
  <si>
    <t xml:space="preserve">Not mentioned in either supplier quote</t>
  </si>
  <si>
    <t xml:space="preserve">Required by Fenster RFQ email 23/06/2026</t>
  </si>
  <si>
    <t xml:space="preserve">No</t>
  </si>
  <si>
    <t xml:space="preserve">PAS24 was a stated requirement; neither quote confirms compliance</t>
  </si>
  <si>
    <t xml:space="preserve">Obtain written PAS24 confirmation from BSW/Bellview before order</t>
  </si>
  <si>
    <t xml:space="preserve">W0.01 fire-rated window</t>
  </si>
  <si>
    <t xml:space="preserve">Not quoted</t>
  </si>
  <si>
    <t xml:space="preserve">Not priced - excluded</t>
  </si>
  <si>
    <t xml:space="preserve">Schedule amended 31/03/26: steel FR 30-min window, outside aluminium package</t>
  </si>
  <si>
    <t xml:space="preserve">Price via steel/FR specialist or exclude formally</t>
  </si>
  <si>
    <t xml:space="preserve">W2.01-W2.06 rooflights (6 nr, 730x730)</t>
  </si>
  <si>
    <t xml:space="preserve">Fixed rooflights on schedule but not in any supplier quote</t>
  </si>
  <si>
    <t xml:space="preserve">RFI: confirm whether rooflights are in Fenster package; obtain quote if so</t>
  </si>
  <si>
    <t xml:space="preserve">Spandrel/panel units</t>
  </si>
  <si>
    <t xml:space="preserve">BSW quoted Lacobel black back-painted units</t>
  </si>
  <si>
    <t xml:space="preserve">Included in window supplier cost</t>
  </si>
  <si>
    <t xml:space="preserve">Partial</t>
  </si>
  <si>
    <t xml:space="preserve">RFQ asked 28mm sandwich panel + frit spandrel with 60mm insulation; BSW quoted Lacobel back-painted glass</t>
  </si>
  <si>
    <t xml:space="preserve">Confirm spandrel build-up acceptable to architect</t>
  </si>
  <si>
    <t xml:space="preserve">Trickle vents</t>
  </si>
  <si>
    <t xml:space="preserve">Excluded in RFQ; not in quotes</t>
  </si>
  <si>
    <t xml:space="preserve">Consistent exclusion</t>
  </si>
  <si>
    <t xml:space="preserve">None</t>
  </si>
  <si>
    <t xml:space="preserve">Internal doors D0.21+ / D1.21+</t>
  </si>
  <si>
    <t xml:space="preserve">Excluded - fit-out package</t>
  </si>
  <si>
    <t xml:space="preserve">Internal fit-out doors sit under BOQ section 3.1, by others</t>
  </si>
  <si>
    <t xml:space="preserve">State exclusion in proposal</t>
  </si>
  <si>
    <t xml:space="preserve">Installation</t>
  </si>
  <si>
    <t xml:space="preserve">No install in supplier quotes</t>
  </si>
  <si>
    <t xml:space="preserve">Labour allowances via Fenster codes</t>
  </si>
  <si>
    <t xml:space="preserve">Labour per Adam code table; no prelims/access allowance added</t>
  </si>
  <si>
    <t xml:space="preserve">Confirm site access/prelims treatment before issue</t>
  </si>
  <si>
    <t xml:space="preserve">Type</t>
  </si>
  <si>
    <t xml:space="preserve">Item</t>
  </si>
  <si>
    <t xml:space="preserve">Assumption</t>
  </si>
  <si>
    <t xml:space="preserve">Colour PPC RAL 7016 Anthracite Grey (matt) to windows and doors per BSW/Bellview quotes; RFQ stated RAL 7016 for doors.</t>
  </si>
  <si>
    <t xml:space="preserve">Bellview 15% discount (Grand Total Net £33,723.08) is used as the door cost basis.</t>
  </si>
  <si>
    <t xml:space="preserve">Supplier quotes are supply-only ex works; delivery included unless supplier states otherwise. Additional delivery charges may apply per BSW terms.</t>
  </si>
  <si>
    <t xml:space="preserve">All dimensions subject to final site survey; supplier sizes match architect S/O sizes on drawing 5006 P04.</t>
  </si>
  <si>
    <t xml:space="preserve">Labour allowances per Fenster product-code table (Adam); no scaffold/access equipment included.</t>
  </si>
  <si>
    <t xml:space="preserve">Exclusion</t>
  </si>
  <si>
    <t xml:space="preserve">W0.01 steel fire-rated (30 min) window - amended from aluminium 31/03/26, not in aluminium package.</t>
  </si>
  <si>
    <t xml:space="preserve">W2.01-W2.06 fixed rooflights (6 nr, 730 x 730) - not quoted by any supplier.</t>
  </si>
  <si>
    <t xml:space="preserve">Internal doors D0.21-D0.40 and D1.21-D1.40 - fit-out package by others.</t>
  </si>
  <si>
    <t xml:space="preserve">Trickle vents (excluded in RFQ).</t>
  </si>
  <si>
    <t xml:space="preserve">Automatic/electronic locking, mag locks, automated controls, pedestrian barriers/stops, panic hardware, stainless/INOX finishes (excluded in RFQ).</t>
  </si>
  <si>
    <t xml:space="preserve">Builders work, making good, structural calculations, fire stopping, scaffold/access equipment, wiring and interfaces.</t>
  </si>
  <si>
    <t xml:space="preserve">VAT treatment to be confirmed with main contractor (figures shown ex VAT).</t>
  </si>
  <si>
    <t xml:space="preserve">#</t>
  </si>
  <si>
    <t xml:space="preserve">RFI / Action</t>
  </si>
  <si>
    <t xml:space="preserve">Severity</t>
  </si>
  <si>
    <t xml:space="preserve">Owner</t>
  </si>
  <si>
    <t xml:space="preserve">Confirm PAS24 compliance in writing from BSW (windows) and Bellview (doors) - stated RFQ requirement, not evidenced in quotes.</t>
  </si>
  <si>
    <t xml:space="preserve">Critical</t>
  </si>
  <si>
    <t xml:space="preserve">Estimating</t>
  </si>
  <si>
    <t xml:space="preserve">Confirm client/architect accepts Sheerline Prestige and SMA Smart Wall as "equal approved" to Senior SPW600/SPW501.</t>
  </si>
  <si>
    <t xml:space="preserve">Confirm whether W2.01-W2.06 rooflights are in the Fenster package; obtain supplier quote if so.</t>
  </si>
  <si>
    <t xml:space="preserve">Confirm procurement route for W0.01 steel FR 30-min window (specialist supplier or by others).</t>
  </si>
  <si>
    <t xml:space="preserve">Warning</t>
  </si>
  <si>
    <t xml:space="preserve">Confirm spandrel build-up: BSW quoted Lacobel back-painted units vs RFQ sandwich panel/frit + 60mm insulation spec.</t>
  </si>
  <si>
    <t xml:space="preserve">Confirm D0.02 configuration (640mm wide door with spandrel + fixed glazed upper panel per schedule).</t>
  </si>
  <si>
    <t xml:space="preserve">Confirm delivery charges, access, prelims and programme; quotes valid 30 days from 26/06/2026.</t>
  </si>
  <si>
    <t xml:space="preserve">Commercial</t>
  </si>
  <si>
    <t xml:space="preserve">Confirm U-value/Part L target - not stated in RFQ; BSW glazing is A-rated 6.8 lami/16 Argon/6 tough.</t>
  </si>
  <si>
    <t xml:space="preserve">Document</t>
  </si>
  <si>
    <t xml:space="preserve">Use</t>
  </si>
  <si>
    <t xml:space="preserve">BSW Window Solutions quote QT251654 dated 26/06/2026 (qt251654.pdf)</t>
  </si>
  <si>
    <t xml:space="preserve">Windows material cost. 47 itemised Sheerline Prestige lines; line sum equals Total Nett Ex VAT £33,608.98. "willesden junction - Windows.pdf" is a text-identical duplicate - counted once.</t>
  </si>
  <si>
    <t xml:space="preserve">Bellview Products quote 0000000427 dated 26/06/2026 (willesden junction.pdf)</t>
  </si>
  <si>
    <t xml:space="preserve">External doors material cost. 10 positions gross £39,674.21, 15% discount, Grand Total Net £33,723.08 used. "willesden junction - Doors.pdf" is a text-identical duplicate - counted once.</t>
  </si>
  <si>
    <t xml:space="preserve">RPS drawing 30946-RPS-XX-ZZ-DR-A-5006_P04 Window and Door Elevations and Schedules</t>
  </si>
  <si>
    <t xml:space="preserve">Source of truth for scope reconciliation: window refs W0.01-W2.06, door refs D0.01-D1.40, S/O dims, comments (W0.18 removed, W0.01 amended to steel FR).</t>
  </si>
  <si>
    <t xml:space="preserve">RPS drawings 5001-5005, 5007 (plans/elevations/roof)</t>
  </si>
  <si>
    <t xml:space="preserve">Reference evidence only - refs cross-checked, not priced.</t>
  </si>
  <si>
    <t xml:space="preserve">RE Fenster Glazing - Willesden Junction Depot.eml (BSW, 26/06/2026)</t>
  </si>
  <si>
    <t xml:space="preserve">RFQ requirements: Senior SPW600/SPW501 or equal approved, PAS24, no trickle vents, spandrel spec, door hardware spec, exclusions.</t>
  </si>
  <si>
    <t xml:space="preserve">Windows &amp; Doors - Willesden Network Rail.xlsx</t>
  </si>
  <si>
    <t xml:space="preserve">Blank BOQ pricing-return shell (no quantities/rates). Confirms package split: windows/external doors under 2.7; internal doors under fit-out 3.1 by others.</t>
  </si>
  <si>
    <t xml:space="preserve">30946-RPS-XX-ZZ-SP-A-0001 Arch Spec V5.pdf / 794-DES-ARC-30946 IFSR REV.2</t>
  </si>
  <si>
    <t xml:space="preserve">Specification and fire-strategy reference evidence; W0.01 FR requirement corroborated.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</si>
</sst>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5" min="5" style="1" width="42"/>
    <col collapsed="false" customWidth="true" hidden="false" outlineLevel="0" max="7" min="6" style="1" width="9"/>
    <col collapsed="false" customWidth="true" hidden="false" outlineLevel="0" max="9" min="8" style="1" width="6"/>
    <col collapsed="false" customWidth="true" hidden="false" outlineLevel="0" max="10" min="10" style="1" width="30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4" min="13" style="1" width="11"/>
    <col collapsed="false" customWidth="true" hidden="false" outlineLevel="0" max="15" min="15" style="1" width="13"/>
    <col collapsed="false" customWidth="true" hidden="false" outlineLevel="0" max="16" min="16" style="1" width="44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n">
        <v>1700</v>
      </c>
      <c r="G2" s="3" t="n">
        <v>2220</v>
      </c>
      <c r="H2" s="3" t="n">
        <v>1</v>
      </c>
      <c r="I2" s="3" t="s">
        <v>21</v>
      </c>
      <c r="J2" s="3" t="s">
        <v>22</v>
      </c>
      <c r="K2" s="4" t="n">
        <v>893.16</v>
      </c>
      <c r="L2" s="3" t="s">
        <v>23</v>
      </c>
      <c r="M2" s="4" t="n">
        <v>500</v>
      </c>
      <c r="N2" s="4" t="n">
        <v>160</v>
      </c>
      <c r="O2" s="4" t="n">
        <f aca="false">K2+M2+N2</f>
        <v>1553.16</v>
      </c>
      <c r="P2" s="3" t="s">
        <v>24</v>
      </c>
    </row>
    <row r="3" customFormat="false" ht="15" hidden="false" customHeight="true" outlineLevel="0" collapsed="false">
      <c r="A3" s="3" t="s">
        <v>16</v>
      </c>
      <c r="B3" s="3" t="s">
        <v>25</v>
      </c>
      <c r="C3" s="3" t="s">
        <v>18</v>
      </c>
      <c r="D3" s="3" t="s">
        <v>19</v>
      </c>
      <c r="E3" s="3" t="s">
        <v>20</v>
      </c>
      <c r="F3" s="3" t="n">
        <v>1700</v>
      </c>
      <c r="G3" s="3" t="n">
        <v>2220</v>
      </c>
      <c r="H3" s="3" t="n">
        <v>1</v>
      </c>
      <c r="I3" s="3" t="s">
        <v>21</v>
      </c>
      <c r="J3" s="3" t="s">
        <v>22</v>
      </c>
      <c r="K3" s="4" t="n">
        <v>893.16</v>
      </c>
      <c r="L3" s="3" t="s">
        <v>23</v>
      </c>
      <c r="M3" s="4" t="n">
        <v>500</v>
      </c>
      <c r="N3" s="4" t="n">
        <v>160</v>
      </c>
      <c r="O3" s="4" t="n">
        <f aca="false">K3+M3+N3</f>
        <v>1553.16</v>
      </c>
      <c r="P3" s="3" t="s">
        <v>24</v>
      </c>
    </row>
    <row r="4" customFormat="false" ht="15" hidden="false" customHeight="true" outlineLevel="0" collapsed="false">
      <c r="A4" s="3" t="s">
        <v>16</v>
      </c>
      <c r="B4" s="3" t="s">
        <v>26</v>
      </c>
      <c r="C4" s="3" t="s">
        <v>18</v>
      </c>
      <c r="D4" s="3" t="s">
        <v>19</v>
      </c>
      <c r="E4" s="3" t="s">
        <v>20</v>
      </c>
      <c r="F4" s="3" t="n">
        <v>1700</v>
      </c>
      <c r="G4" s="3" t="n">
        <v>2220</v>
      </c>
      <c r="H4" s="3" t="n">
        <v>1</v>
      </c>
      <c r="I4" s="3" t="s">
        <v>21</v>
      </c>
      <c r="J4" s="3" t="s">
        <v>22</v>
      </c>
      <c r="K4" s="4" t="n">
        <v>893.16</v>
      </c>
      <c r="L4" s="3" t="s">
        <v>23</v>
      </c>
      <c r="M4" s="4" t="n">
        <v>500</v>
      </c>
      <c r="N4" s="4" t="n">
        <v>160</v>
      </c>
      <c r="O4" s="4" t="n">
        <f aca="false">K4+M4+N4</f>
        <v>1553.16</v>
      </c>
      <c r="P4" s="3" t="s">
        <v>24</v>
      </c>
    </row>
    <row r="5" customFormat="false" ht="15" hidden="false" customHeight="true" outlineLevel="0" collapsed="false">
      <c r="A5" s="3" t="s">
        <v>16</v>
      </c>
      <c r="B5" s="3" t="s">
        <v>27</v>
      </c>
      <c r="C5" s="3" t="s">
        <v>18</v>
      </c>
      <c r="D5" s="3" t="s">
        <v>19</v>
      </c>
      <c r="E5" s="3" t="s">
        <v>20</v>
      </c>
      <c r="F5" s="3" t="n">
        <v>1700</v>
      </c>
      <c r="G5" s="3" t="n">
        <v>2220</v>
      </c>
      <c r="H5" s="3" t="n">
        <v>1</v>
      </c>
      <c r="I5" s="3" t="s">
        <v>21</v>
      </c>
      <c r="J5" s="3" t="s">
        <v>22</v>
      </c>
      <c r="K5" s="4" t="n">
        <v>893.16</v>
      </c>
      <c r="L5" s="3" t="s">
        <v>23</v>
      </c>
      <c r="M5" s="4" t="n">
        <v>500</v>
      </c>
      <c r="N5" s="4" t="n">
        <v>160</v>
      </c>
      <c r="O5" s="4" t="n">
        <f aca="false">K5+M5+N5</f>
        <v>1553.16</v>
      </c>
      <c r="P5" s="3" t="s">
        <v>24</v>
      </c>
    </row>
    <row r="6" customFormat="false" ht="15" hidden="false" customHeight="true" outlineLevel="0" collapsed="false">
      <c r="A6" s="3" t="s">
        <v>16</v>
      </c>
      <c r="B6" s="3" t="s">
        <v>28</v>
      </c>
      <c r="C6" s="3" t="s">
        <v>18</v>
      </c>
      <c r="D6" s="3" t="s">
        <v>19</v>
      </c>
      <c r="E6" s="3" t="s">
        <v>20</v>
      </c>
      <c r="F6" s="3" t="n">
        <v>1700</v>
      </c>
      <c r="G6" s="3" t="n">
        <v>2220</v>
      </c>
      <c r="H6" s="3" t="n">
        <v>1</v>
      </c>
      <c r="I6" s="3" t="s">
        <v>21</v>
      </c>
      <c r="J6" s="3" t="s">
        <v>22</v>
      </c>
      <c r="K6" s="4" t="n">
        <v>893.16</v>
      </c>
      <c r="L6" s="3" t="s">
        <v>23</v>
      </c>
      <c r="M6" s="4" t="n">
        <v>500</v>
      </c>
      <c r="N6" s="4" t="n">
        <v>160</v>
      </c>
      <c r="O6" s="4" t="n">
        <f aca="false">K6+M6+N6</f>
        <v>1553.16</v>
      </c>
      <c r="P6" s="3" t="s">
        <v>24</v>
      </c>
    </row>
    <row r="7" customFormat="false" ht="15" hidden="false" customHeight="true" outlineLevel="0" collapsed="false">
      <c r="A7" s="3" t="s">
        <v>16</v>
      </c>
      <c r="B7" s="3" t="s">
        <v>29</v>
      </c>
      <c r="C7" s="3" t="s">
        <v>18</v>
      </c>
      <c r="D7" s="3" t="s">
        <v>19</v>
      </c>
      <c r="E7" s="3" t="s">
        <v>20</v>
      </c>
      <c r="F7" s="3" t="n">
        <v>1700</v>
      </c>
      <c r="G7" s="3" t="n">
        <v>2220</v>
      </c>
      <c r="H7" s="3" t="n">
        <v>1</v>
      </c>
      <c r="I7" s="3" t="s">
        <v>21</v>
      </c>
      <c r="J7" s="3" t="s">
        <v>22</v>
      </c>
      <c r="K7" s="4" t="n">
        <v>893.16</v>
      </c>
      <c r="L7" s="3" t="s">
        <v>23</v>
      </c>
      <c r="M7" s="4" t="n">
        <v>500</v>
      </c>
      <c r="N7" s="4" t="n">
        <v>160</v>
      </c>
      <c r="O7" s="4" t="n">
        <f aca="false">K7+M7+N7</f>
        <v>1553.16</v>
      </c>
      <c r="P7" s="3" t="s">
        <v>24</v>
      </c>
    </row>
    <row r="8" customFormat="false" ht="15" hidden="false" customHeight="true" outlineLevel="0" collapsed="false">
      <c r="A8" s="3" t="s">
        <v>16</v>
      </c>
      <c r="B8" s="3" t="s">
        <v>30</v>
      </c>
      <c r="C8" s="3" t="s">
        <v>18</v>
      </c>
      <c r="D8" s="3" t="s">
        <v>19</v>
      </c>
      <c r="E8" s="3" t="s">
        <v>20</v>
      </c>
      <c r="F8" s="3" t="n">
        <v>1700</v>
      </c>
      <c r="G8" s="3" t="n">
        <v>2220</v>
      </c>
      <c r="H8" s="3" t="n">
        <v>1</v>
      </c>
      <c r="I8" s="3" t="s">
        <v>21</v>
      </c>
      <c r="J8" s="3" t="s">
        <v>22</v>
      </c>
      <c r="K8" s="4" t="n">
        <v>893.16</v>
      </c>
      <c r="L8" s="3" t="s">
        <v>23</v>
      </c>
      <c r="M8" s="4" t="n">
        <v>500</v>
      </c>
      <c r="N8" s="4" t="n">
        <v>160</v>
      </c>
      <c r="O8" s="4" t="n">
        <f aca="false">K8+M8+N8</f>
        <v>1553.16</v>
      </c>
      <c r="P8" s="3" t="s">
        <v>24</v>
      </c>
    </row>
    <row r="9" customFormat="false" ht="15" hidden="false" customHeight="true" outlineLevel="0" collapsed="false">
      <c r="A9" s="3" t="s">
        <v>16</v>
      </c>
      <c r="B9" s="3" t="s">
        <v>31</v>
      </c>
      <c r="C9" s="3" t="s">
        <v>18</v>
      </c>
      <c r="D9" s="3" t="s">
        <v>19</v>
      </c>
      <c r="E9" s="3" t="s">
        <v>20</v>
      </c>
      <c r="F9" s="3" t="n">
        <v>1700</v>
      </c>
      <c r="G9" s="3" t="n">
        <v>2220</v>
      </c>
      <c r="H9" s="3" t="n">
        <v>1</v>
      </c>
      <c r="I9" s="3" t="s">
        <v>21</v>
      </c>
      <c r="J9" s="3" t="s">
        <v>22</v>
      </c>
      <c r="K9" s="4" t="n">
        <v>893.16</v>
      </c>
      <c r="L9" s="3" t="s">
        <v>23</v>
      </c>
      <c r="M9" s="4" t="n">
        <v>500</v>
      </c>
      <c r="N9" s="4" t="n">
        <v>160</v>
      </c>
      <c r="O9" s="4" t="n">
        <f aca="false">K9+M9+N9</f>
        <v>1553.16</v>
      </c>
      <c r="P9" s="3" t="s">
        <v>24</v>
      </c>
    </row>
    <row r="10" customFormat="false" ht="15" hidden="false" customHeight="true" outlineLevel="0" collapsed="false">
      <c r="A10" s="3" t="s">
        <v>16</v>
      </c>
      <c r="B10" s="3" t="s">
        <v>32</v>
      </c>
      <c r="C10" s="3" t="s">
        <v>18</v>
      </c>
      <c r="D10" s="3" t="s">
        <v>19</v>
      </c>
      <c r="E10" s="3" t="s">
        <v>20</v>
      </c>
      <c r="F10" s="3" t="n">
        <v>1700</v>
      </c>
      <c r="G10" s="3" t="n">
        <v>2220</v>
      </c>
      <c r="H10" s="3" t="n">
        <v>1</v>
      </c>
      <c r="I10" s="3" t="s">
        <v>21</v>
      </c>
      <c r="J10" s="3" t="s">
        <v>22</v>
      </c>
      <c r="K10" s="4" t="n">
        <v>893.16</v>
      </c>
      <c r="L10" s="3" t="s">
        <v>23</v>
      </c>
      <c r="M10" s="4" t="n">
        <v>500</v>
      </c>
      <c r="N10" s="4" t="n">
        <v>160</v>
      </c>
      <c r="O10" s="4" t="n">
        <f aca="false">K10+M10+N10</f>
        <v>1553.16</v>
      </c>
      <c r="P10" s="3" t="s">
        <v>24</v>
      </c>
    </row>
    <row r="11" customFormat="false" ht="15" hidden="false" customHeight="true" outlineLevel="0" collapsed="false">
      <c r="A11" s="3" t="s">
        <v>16</v>
      </c>
      <c r="B11" s="3" t="s">
        <v>33</v>
      </c>
      <c r="C11" s="3" t="s">
        <v>18</v>
      </c>
      <c r="D11" s="3" t="s">
        <v>19</v>
      </c>
      <c r="E11" s="3" t="s">
        <v>20</v>
      </c>
      <c r="F11" s="3" t="n">
        <v>1700</v>
      </c>
      <c r="G11" s="3" t="n">
        <v>2220</v>
      </c>
      <c r="H11" s="3" t="n">
        <v>1</v>
      </c>
      <c r="I11" s="3" t="s">
        <v>21</v>
      </c>
      <c r="J11" s="3" t="s">
        <v>22</v>
      </c>
      <c r="K11" s="4" t="n">
        <v>893.16</v>
      </c>
      <c r="L11" s="3" t="s">
        <v>23</v>
      </c>
      <c r="M11" s="4" t="n">
        <v>500</v>
      </c>
      <c r="N11" s="4" t="n">
        <v>160</v>
      </c>
      <c r="O11" s="4" t="n">
        <f aca="false">K11+M11+N11</f>
        <v>1553.16</v>
      </c>
      <c r="P11" s="3" t="s">
        <v>24</v>
      </c>
    </row>
    <row r="12" customFormat="false" ht="15" hidden="false" customHeight="true" outlineLevel="0" collapsed="false">
      <c r="A12" s="3" t="s">
        <v>16</v>
      </c>
      <c r="B12" s="3" t="s">
        <v>34</v>
      </c>
      <c r="C12" s="3" t="s">
        <v>18</v>
      </c>
      <c r="D12" s="3" t="s">
        <v>35</v>
      </c>
      <c r="E12" s="3" t="s">
        <v>20</v>
      </c>
      <c r="F12" s="3" t="n">
        <v>1450</v>
      </c>
      <c r="G12" s="3" t="n">
        <v>1870</v>
      </c>
      <c r="H12" s="3" t="n">
        <v>1</v>
      </c>
      <c r="I12" s="3" t="s">
        <v>21</v>
      </c>
      <c r="J12" s="3" t="s">
        <v>22</v>
      </c>
      <c r="K12" s="4" t="n">
        <v>548.11</v>
      </c>
      <c r="L12" s="3" t="s">
        <v>23</v>
      </c>
      <c r="M12" s="4" t="n">
        <v>500</v>
      </c>
      <c r="N12" s="4" t="n">
        <v>160</v>
      </c>
      <c r="O12" s="4" t="n">
        <f aca="false">K12+M12+N12</f>
        <v>1208.11</v>
      </c>
      <c r="P12" s="3" t="s">
        <v>24</v>
      </c>
    </row>
    <row r="13" customFormat="false" ht="15" hidden="false" customHeight="true" outlineLevel="0" collapsed="false">
      <c r="A13" s="3" t="s">
        <v>16</v>
      </c>
      <c r="B13" s="3" t="s">
        <v>36</v>
      </c>
      <c r="C13" s="3" t="s">
        <v>18</v>
      </c>
      <c r="D13" s="3" t="s">
        <v>37</v>
      </c>
      <c r="E13" s="3" t="s">
        <v>20</v>
      </c>
      <c r="F13" s="3" t="n">
        <v>760</v>
      </c>
      <c r="G13" s="3" t="n">
        <v>2220</v>
      </c>
      <c r="H13" s="3" t="n">
        <v>1</v>
      </c>
      <c r="I13" s="3" t="s">
        <v>21</v>
      </c>
      <c r="J13" s="3" t="s">
        <v>22</v>
      </c>
      <c r="K13" s="4" t="n">
        <v>493.2</v>
      </c>
      <c r="L13" s="3" t="s">
        <v>38</v>
      </c>
      <c r="M13" s="4" t="n">
        <v>400</v>
      </c>
      <c r="N13" s="4" t="n">
        <v>160</v>
      </c>
      <c r="O13" s="4" t="n">
        <f aca="false">K13+M13+N13</f>
        <v>1053.2</v>
      </c>
      <c r="P13" s="3" t="s">
        <v>24</v>
      </c>
    </row>
    <row r="14" customFormat="false" ht="15" hidden="false" customHeight="true" outlineLevel="0" collapsed="false">
      <c r="A14" s="3" t="s">
        <v>16</v>
      </c>
      <c r="B14" s="3" t="s">
        <v>39</v>
      </c>
      <c r="C14" s="3" t="s">
        <v>18</v>
      </c>
      <c r="D14" s="3" t="s">
        <v>40</v>
      </c>
      <c r="E14" s="3" t="s">
        <v>20</v>
      </c>
      <c r="F14" s="3" t="n">
        <v>3150</v>
      </c>
      <c r="G14" s="3" t="n">
        <v>2340</v>
      </c>
      <c r="H14" s="3" t="n">
        <v>1</v>
      </c>
      <c r="I14" s="3" t="s">
        <v>21</v>
      </c>
      <c r="J14" s="3" t="s">
        <v>22</v>
      </c>
      <c r="K14" s="4" t="n">
        <v>1712.26</v>
      </c>
      <c r="L14" s="3" t="s">
        <v>41</v>
      </c>
      <c r="M14" s="4" t="n">
        <v>600</v>
      </c>
      <c r="N14" s="4" t="n">
        <v>160</v>
      </c>
      <c r="O14" s="4" t="n">
        <f aca="false">K14+M14+N14</f>
        <v>2472.26</v>
      </c>
      <c r="P14" s="3" t="s">
        <v>24</v>
      </c>
    </row>
    <row r="15" customFormat="false" ht="15" hidden="false" customHeight="true" outlineLevel="0" collapsed="false">
      <c r="A15" s="3" t="s">
        <v>16</v>
      </c>
      <c r="B15" s="3" t="s">
        <v>42</v>
      </c>
      <c r="C15" s="3" t="s">
        <v>18</v>
      </c>
      <c r="D15" s="3" t="s">
        <v>43</v>
      </c>
      <c r="E15" s="3" t="s">
        <v>20</v>
      </c>
      <c r="F15" s="3" t="n">
        <v>1220</v>
      </c>
      <c r="G15" s="3" t="n">
        <v>915</v>
      </c>
      <c r="H15" s="3" t="n">
        <v>1</v>
      </c>
      <c r="I15" s="3" t="s">
        <v>21</v>
      </c>
      <c r="J15" s="3" t="s">
        <v>22</v>
      </c>
      <c r="K15" s="4" t="n">
        <v>304.69</v>
      </c>
      <c r="L15" s="3" t="s">
        <v>38</v>
      </c>
      <c r="M15" s="4" t="n">
        <v>400</v>
      </c>
      <c r="N15" s="4" t="n">
        <v>160</v>
      </c>
      <c r="O15" s="4" t="n">
        <f aca="false">K15+M15+N15</f>
        <v>864.69</v>
      </c>
      <c r="P15" s="3" t="s">
        <v>24</v>
      </c>
    </row>
    <row r="16" customFormat="false" ht="15" hidden="false" customHeight="true" outlineLevel="0" collapsed="false">
      <c r="A16" s="3" t="s">
        <v>16</v>
      </c>
      <c r="B16" s="3" t="s">
        <v>44</v>
      </c>
      <c r="C16" s="3" t="s">
        <v>18</v>
      </c>
      <c r="D16" s="3" t="s">
        <v>45</v>
      </c>
      <c r="E16" s="3" t="s">
        <v>20</v>
      </c>
      <c r="F16" s="3" t="n">
        <v>1700</v>
      </c>
      <c r="G16" s="3" t="n">
        <v>1230</v>
      </c>
      <c r="H16" s="3" t="n">
        <v>1</v>
      </c>
      <c r="I16" s="3" t="s">
        <v>21</v>
      </c>
      <c r="J16" s="3" t="s">
        <v>22</v>
      </c>
      <c r="K16" s="4" t="n">
        <v>632.47</v>
      </c>
      <c r="L16" s="3" t="s">
        <v>38</v>
      </c>
      <c r="M16" s="4" t="n">
        <v>400</v>
      </c>
      <c r="N16" s="4" t="n">
        <v>160</v>
      </c>
      <c r="O16" s="4" t="n">
        <f aca="false">K16+M16+N16</f>
        <v>1192.47</v>
      </c>
      <c r="P16" s="3" t="s">
        <v>24</v>
      </c>
    </row>
    <row r="17" customFormat="false" ht="15" hidden="false" customHeight="true" outlineLevel="0" collapsed="false">
      <c r="A17" s="3" t="s">
        <v>16</v>
      </c>
      <c r="B17" s="3" t="s">
        <v>46</v>
      </c>
      <c r="C17" s="3" t="s">
        <v>18</v>
      </c>
      <c r="D17" s="3" t="s">
        <v>45</v>
      </c>
      <c r="E17" s="3" t="s">
        <v>20</v>
      </c>
      <c r="F17" s="3" t="n">
        <v>1700</v>
      </c>
      <c r="G17" s="3" t="n">
        <v>1230</v>
      </c>
      <c r="H17" s="3" t="n">
        <v>1</v>
      </c>
      <c r="I17" s="3" t="s">
        <v>21</v>
      </c>
      <c r="J17" s="3" t="s">
        <v>22</v>
      </c>
      <c r="K17" s="4" t="n">
        <v>632.47</v>
      </c>
      <c r="L17" s="3" t="s">
        <v>38</v>
      </c>
      <c r="M17" s="4" t="n">
        <v>400</v>
      </c>
      <c r="N17" s="4" t="n">
        <v>160</v>
      </c>
      <c r="O17" s="4" t="n">
        <f aca="false">K17+M17+N17</f>
        <v>1192.47</v>
      </c>
      <c r="P17" s="3" t="s">
        <v>24</v>
      </c>
    </row>
    <row r="18" customFormat="false" ht="15" hidden="false" customHeight="true" outlineLevel="0" collapsed="false">
      <c r="A18" s="3" t="s">
        <v>16</v>
      </c>
      <c r="B18" s="3" t="s">
        <v>47</v>
      </c>
      <c r="C18" s="3" t="s">
        <v>18</v>
      </c>
      <c r="D18" s="3" t="s">
        <v>48</v>
      </c>
      <c r="E18" s="3" t="s">
        <v>20</v>
      </c>
      <c r="F18" s="3" t="n">
        <v>1150</v>
      </c>
      <c r="G18" s="3" t="n">
        <v>500</v>
      </c>
      <c r="H18" s="3" t="n">
        <v>1</v>
      </c>
      <c r="I18" s="3" t="s">
        <v>21</v>
      </c>
      <c r="J18" s="3" t="s">
        <v>22</v>
      </c>
      <c r="K18" s="4" t="n">
        <v>179.1</v>
      </c>
      <c r="L18" s="3" t="s">
        <v>38</v>
      </c>
      <c r="M18" s="4" t="n">
        <v>400</v>
      </c>
      <c r="N18" s="4" t="n">
        <v>160</v>
      </c>
      <c r="O18" s="4" t="n">
        <f aca="false">K18+M18+N18</f>
        <v>739.1</v>
      </c>
      <c r="P18" s="3" t="s">
        <v>24</v>
      </c>
    </row>
    <row r="19" customFormat="false" ht="15" hidden="false" customHeight="true" outlineLevel="0" collapsed="false">
      <c r="A19" s="3" t="s">
        <v>16</v>
      </c>
      <c r="B19" s="3" t="s">
        <v>49</v>
      </c>
      <c r="C19" s="3" t="s">
        <v>18</v>
      </c>
      <c r="D19" s="3" t="s">
        <v>48</v>
      </c>
      <c r="E19" s="3" t="s">
        <v>20</v>
      </c>
      <c r="F19" s="3" t="n">
        <v>1150</v>
      </c>
      <c r="G19" s="3" t="n">
        <v>500</v>
      </c>
      <c r="H19" s="3" t="n">
        <v>1</v>
      </c>
      <c r="I19" s="3" t="s">
        <v>21</v>
      </c>
      <c r="J19" s="3" t="s">
        <v>22</v>
      </c>
      <c r="K19" s="4" t="n">
        <v>179.1</v>
      </c>
      <c r="L19" s="3" t="s">
        <v>38</v>
      </c>
      <c r="M19" s="4" t="n">
        <v>400</v>
      </c>
      <c r="N19" s="4" t="n">
        <v>160</v>
      </c>
      <c r="O19" s="4" t="n">
        <f aca="false">K19+M19+N19</f>
        <v>739.1</v>
      </c>
      <c r="P19" s="3" t="s">
        <v>24</v>
      </c>
    </row>
    <row r="20" customFormat="false" ht="15" hidden="false" customHeight="true" outlineLevel="0" collapsed="false">
      <c r="A20" s="3" t="s">
        <v>16</v>
      </c>
      <c r="B20" s="3" t="s">
        <v>50</v>
      </c>
      <c r="C20" s="3" t="s">
        <v>18</v>
      </c>
      <c r="D20" s="3" t="s">
        <v>51</v>
      </c>
      <c r="E20" s="3" t="s">
        <v>20</v>
      </c>
      <c r="F20" s="3" t="n">
        <v>1600</v>
      </c>
      <c r="G20" s="3" t="n">
        <v>500</v>
      </c>
      <c r="H20" s="3" t="n">
        <v>1</v>
      </c>
      <c r="I20" s="3" t="s">
        <v>21</v>
      </c>
      <c r="J20" s="3" t="s">
        <v>22</v>
      </c>
      <c r="K20" s="4" t="n">
        <v>231.61</v>
      </c>
      <c r="L20" s="3" t="s">
        <v>38</v>
      </c>
      <c r="M20" s="4" t="n">
        <v>400</v>
      </c>
      <c r="N20" s="4" t="n">
        <v>160</v>
      </c>
      <c r="O20" s="4" t="n">
        <f aca="false">K20+M20+N20</f>
        <v>791.61</v>
      </c>
      <c r="P20" s="3" t="s">
        <v>24</v>
      </c>
    </row>
    <row r="21" customFormat="false" ht="15" hidden="false" customHeight="true" outlineLevel="0" collapsed="false">
      <c r="A21" s="3" t="s">
        <v>16</v>
      </c>
      <c r="B21" s="3" t="s">
        <v>52</v>
      </c>
      <c r="C21" s="3" t="s">
        <v>18</v>
      </c>
      <c r="D21" s="3" t="s">
        <v>51</v>
      </c>
      <c r="E21" s="3" t="s">
        <v>20</v>
      </c>
      <c r="F21" s="3" t="n">
        <v>1600</v>
      </c>
      <c r="G21" s="3" t="n">
        <v>500</v>
      </c>
      <c r="H21" s="3" t="n">
        <v>1</v>
      </c>
      <c r="I21" s="3" t="s">
        <v>21</v>
      </c>
      <c r="J21" s="3" t="s">
        <v>22</v>
      </c>
      <c r="K21" s="4" t="n">
        <v>231.61</v>
      </c>
      <c r="L21" s="3" t="s">
        <v>38</v>
      </c>
      <c r="M21" s="4" t="n">
        <v>400</v>
      </c>
      <c r="N21" s="4" t="n">
        <v>160</v>
      </c>
      <c r="O21" s="4" t="n">
        <f aca="false">K21+M21+N21</f>
        <v>791.61</v>
      </c>
      <c r="P21" s="3" t="s">
        <v>24</v>
      </c>
    </row>
    <row r="22" customFormat="false" ht="15" hidden="false" customHeight="true" outlineLevel="0" collapsed="false">
      <c r="A22" s="3" t="s">
        <v>16</v>
      </c>
      <c r="B22" s="3" t="s">
        <v>53</v>
      </c>
      <c r="C22" s="3" t="s">
        <v>18</v>
      </c>
      <c r="D22" s="3" t="s">
        <v>54</v>
      </c>
      <c r="E22" s="3" t="s">
        <v>20</v>
      </c>
      <c r="F22" s="3" t="n">
        <v>1695</v>
      </c>
      <c r="G22" s="3" t="n">
        <v>500</v>
      </c>
      <c r="H22" s="3" t="n">
        <v>1</v>
      </c>
      <c r="I22" s="3" t="s">
        <v>21</v>
      </c>
      <c r="J22" s="3" t="s">
        <v>22</v>
      </c>
      <c r="K22" s="4" t="n">
        <v>242.01</v>
      </c>
      <c r="L22" s="3" t="s">
        <v>38</v>
      </c>
      <c r="M22" s="4" t="n">
        <v>400</v>
      </c>
      <c r="N22" s="4" t="n">
        <v>160</v>
      </c>
      <c r="O22" s="4" t="n">
        <f aca="false">K22+M22+N22</f>
        <v>802.01</v>
      </c>
      <c r="P22" s="3" t="s">
        <v>24</v>
      </c>
    </row>
    <row r="23" customFormat="false" ht="15" hidden="false" customHeight="true" outlineLevel="0" collapsed="false">
      <c r="A23" s="3" t="s">
        <v>16</v>
      </c>
      <c r="B23" s="3" t="s">
        <v>55</v>
      </c>
      <c r="C23" s="3" t="s">
        <v>18</v>
      </c>
      <c r="D23" s="3" t="s">
        <v>54</v>
      </c>
      <c r="E23" s="3" t="s">
        <v>20</v>
      </c>
      <c r="F23" s="3" t="n">
        <v>1695</v>
      </c>
      <c r="G23" s="3" t="n">
        <v>500</v>
      </c>
      <c r="H23" s="3" t="n">
        <v>1</v>
      </c>
      <c r="I23" s="3" t="s">
        <v>21</v>
      </c>
      <c r="J23" s="3" t="s">
        <v>22</v>
      </c>
      <c r="K23" s="4" t="n">
        <v>262.93</v>
      </c>
      <c r="L23" s="3" t="s">
        <v>38</v>
      </c>
      <c r="M23" s="4" t="n">
        <v>400</v>
      </c>
      <c r="N23" s="4" t="n">
        <v>160</v>
      </c>
      <c r="O23" s="4" t="n">
        <f aca="false">K23+M23+N23</f>
        <v>822.93</v>
      </c>
      <c r="P23" s="3" t="s">
        <v>24</v>
      </c>
    </row>
    <row r="24" customFormat="false" ht="15" hidden="false" customHeight="true" outlineLevel="0" collapsed="false">
      <c r="A24" s="3" t="s">
        <v>16</v>
      </c>
      <c r="B24" s="3" t="s">
        <v>56</v>
      </c>
      <c r="C24" s="3" t="s">
        <v>18</v>
      </c>
      <c r="D24" s="3" t="s">
        <v>54</v>
      </c>
      <c r="E24" s="3" t="s">
        <v>20</v>
      </c>
      <c r="F24" s="3" t="n">
        <v>1695</v>
      </c>
      <c r="G24" s="3" t="n">
        <v>500</v>
      </c>
      <c r="H24" s="3" t="n">
        <v>1</v>
      </c>
      <c r="I24" s="3" t="s">
        <v>21</v>
      </c>
      <c r="J24" s="3" t="s">
        <v>22</v>
      </c>
      <c r="K24" s="4" t="n">
        <v>262.93</v>
      </c>
      <c r="L24" s="3" t="s">
        <v>38</v>
      </c>
      <c r="M24" s="4" t="n">
        <v>400</v>
      </c>
      <c r="N24" s="4" t="n">
        <v>160</v>
      </c>
      <c r="O24" s="4" t="n">
        <f aca="false">K24+M24+N24</f>
        <v>822.93</v>
      </c>
      <c r="P24" s="3" t="s">
        <v>24</v>
      </c>
    </row>
    <row r="25" customFormat="false" ht="15" hidden="false" customHeight="true" outlineLevel="0" collapsed="false">
      <c r="A25" s="3" t="s">
        <v>16</v>
      </c>
      <c r="B25" s="3" t="s">
        <v>57</v>
      </c>
      <c r="C25" s="3" t="s">
        <v>18</v>
      </c>
      <c r="D25" s="3" t="s">
        <v>54</v>
      </c>
      <c r="E25" s="3" t="s">
        <v>20</v>
      </c>
      <c r="F25" s="3" t="n">
        <v>1695</v>
      </c>
      <c r="G25" s="3" t="n">
        <v>500</v>
      </c>
      <c r="H25" s="3" t="n">
        <v>1</v>
      </c>
      <c r="I25" s="3" t="s">
        <v>21</v>
      </c>
      <c r="J25" s="3" t="s">
        <v>22</v>
      </c>
      <c r="K25" s="4" t="n">
        <v>262.93</v>
      </c>
      <c r="L25" s="3" t="s">
        <v>38</v>
      </c>
      <c r="M25" s="4" t="n">
        <v>400</v>
      </c>
      <c r="N25" s="4" t="n">
        <v>160</v>
      </c>
      <c r="O25" s="4" t="n">
        <f aca="false">K25+M25+N25</f>
        <v>822.93</v>
      </c>
      <c r="P25" s="3" t="s">
        <v>24</v>
      </c>
    </row>
    <row r="26" customFormat="false" ht="15" hidden="false" customHeight="true" outlineLevel="0" collapsed="false">
      <c r="A26" s="3" t="s">
        <v>16</v>
      </c>
      <c r="B26" s="3" t="s">
        <v>58</v>
      </c>
      <c r="C26" s="3" t="s">
        <v>18</v>
      </c>
      <c r="D26" s="3" t="s">
        <v>54</v>
      </c>
      <c r="E26" s="3" t="s">
        <v>20</v>
      </c>
      <c r="F26" s="3" t="n">
        <v>1695</v>
      </c>
      <c r="G26" s="3" t="n">
        <v>500</v>
      </c>
      <c r="H26" s="3" t="n">
        <v>1</v>
      </c>
      <c r="I26" s="3" t="s">
        <v>21</v>
      </c>
      <c r="J26" s="3" t="s">
        <v>22</v>
      </c>
      <c r="K26" s="4" t="n">
        <v>262.93</v>
      </c>
      <c r="L26" s="3" t="s">
        <v>38</v>
      </c>
      <c r="M26" s="4" t="n">
        <v>400</v>
      </c>
      <c r="N26" s="4" t="n">
        <v>160</v>
      </c>
      <c r="O26" s="4" t="n">
        <f aca="false">K26+M26+N26</f>
        <v>822.93</v>
      </c>
      <c r="P26" s="3" t="s">
        <v>24</v>
      </c>
    </row>
    <row r="27" customFormat="false" ht="15" hidden="false" customHeight="true" outlineLevel="0" collapsed="false">
      <c r="A27" s="3" t="s">
        <v>16</v>
      </c>
      <c r="B27" s="3" t="s">
        <v>59</v>
      </c>
      <c r="C27" s="3" t="s">
        <v>18</v>
      </c>
      <c r="D27" s="3" t="s">
        <v>54</v>
      </c>
      <c r="E27" s="3" t="s">
        <v>20</v>
      </c>
      <c r="F27" s="3" t="n">
        <v>1695</v>
      </c>
      <c r="G27" s="3" t="n">
        <v>500</v>
      </c>
      <c r="H27" s="3" t="n">
        <v>1</v>
      </c>
      <c r="I27" s="3" t="s">
        <v>21</v>
      </c>
      <c r="J27" s="3" t="s">
        <v>22</v>
      </c>
      <c r="K27" s="4" t="n">
        <v>262.93</v>
      </c>
      <c r="L27" s="3" t="s">
        <v>38</v>
      </c>
      <c r="M27" s="4" t="n">
        <v>400</v>
      </c>
      <c r="N27" s="4" t="n">
        <v>160</v>
      </c>
      <c r="O27" s="4" t="n">
        <f aca="false">K27+M27+N27</f>
        <v>822.93</v>
      </c>
      <c r="P27" s="3" t="s">
        <v>24</v>
      </c>
    </row>
    <row r="28" customFormat="false" ht="15" hidden="false" customHeight="true" outlineLevel="0" collapsed="false">
      <c r="A28" s="3" t="s">
        <v>16</v>
      </c>
      <c r="B28" s="3" t="s">
        <v>60</v>
      </c>
      <c r="C28" s="3" t="s">
        <v>18</v>
      </c>
      <c r="D28" s="3" t="s">
        <v>61</v>
      </c>
      <c r="E28" s="3" t="s">
        <v>20</v>
      </c>
      <c r="F28" s="3" t="n">
        <v>1610</v>
      </c>
      <c r="G28" s="3" t="n">
        <v>500</v>
      </c>
      <c r="H28" s="3" t="n">
        <v>1</v>
      </c>
      <c r="I28" s="3" t="s">
        <v>21</v>
      </c>
      <c r="J28" s="3" t="s">
        <v>22</v>
      </c>
      <c r="K28" s="4" t="n">
        <v>252.49</v>
      </c>
      <c r="L28" s="3" t="s">
        <v>38</v>
      </c>
      <c r="M28" s="4" t="n">
        <v>400</v>
      </c>
      <c r="N28" s="4" t="n">
        <v>160</v>
      </c>
      <c r="O28" s="4" t="n">
        <f aca="false">K28+M28+N28</f>
        <v>812.49</v>
      </c>
      <c r="P28" s="3" t="s">
        <v>24</v>
      </c>
    </row>
    <row r="29" customFormat="false" ht="15" hidden="false" customHeight="true" outlineLevel="0" collapsed="false">
      <c r="A29" s="3" t="s">
        <v>16</v>
      </c>
      <c r="B29" s="3" t="s">
        <v>62</v>
      </c>
      <c r="C29" s="3" t="s">
        <v>18</v>
      </c>
      <c r="D29" s="3" t="s">
        <v>61</v>
      </c>
      <c r="E29" s="3" t="s">
        <v>20</v>
      </c>
      <c r="F29" s="3" t="n">
        <v>1610</v>
      </c>
      <c r="G29" s="3" t="n">
        <v>500</v>
      </c>
      <c r="H29" s="3" t="n">
        <v>1</v>
      </c>
      <c r="I29" s="3" t="s">
        <v>21</v>
      </c>
      <c r="J29" s="3" t="s">
        <v>22</v>
      </c>
      <c r="K29" s="4" t="n">
        <v>252.49</v>
      </c>
      <c r="L29" s="3" t="s">
        <v>38</v>
      </c>
      <c r="M29" s="4" t="n">
        <v>400</v>
      </c>
      <c r="N29" s="4" t="n">
        <v>160</v>
      </c>
      <c r="O29" s="4" t="n">
        <f aca="false">K29+M29+N29</f>
        <v>812.49</v>
      </c>
      <c r="P29" s="3" t="s">
        <v>24</v>
      </c>
    </row>
    <row r="30" customFormat="false" ht="15" hidden="false" customHeight="true" outlineLevel="0" collapsed="false">
      <c r="A30" s="3" t="s">
        <v>16</v>
      </c>
      <c r="B30" s="3" t="s">
        <v>63</v>
      </c>
      <c r="C30" s="3" t="s">
        <v>64</v>
      </c>
      <c r="D30" s="3" t="s">
        <v>65</v>
      </c>
      <c r="E30" s="3" t="s">
        <v>20</v>
      </c>
      <c r="F30" s="3" t="n">
        <v>1710</v>
      </c>
      <c r="G30" s="3" t="n">
        <v>2230</v>
      </c>
      <c r="H30" s="3" t="n">
        <v>1</v>
      </c>
      <c r="I30" s="3" t="s">
        <v>21</v>
      </c>
      <c r="J30" s="3" t="s">
        <v>22</v>
      </c>
      <c r="K30" s="4" t="n">
        <v>899.63</v>
      </c>
      <c r="L30" s="3" t="s">
        <v>23</v>
      </c>
      <c r="M30" s="4" t="n">
        <v>500</v>
      </c>
      <c r="N30" s="4" t="n">
        <v>160</v>
      </c>
      <c r="O30" s="4" t="n">
        <f aca="false">K30+M30+N30</f>
        <v>1559.63</v>
      </c>
      <c r="P30" s="3" t="s">
        <v>24</v>
      </c>
    </row>
    <row r="31" customFormat="false" ht="15" hidden="false" customHeight="true" outlineLevel="0" collapsed="false">
      <c r="A31" s="3" t="s">
        <v>16</v>
      </c>
      <c r="B31" s="3" t="s">
        <v>66</v>
      </c>
      <c r="C31" s="3" t="s">
        <v>64</v>
      </c>
      <c r="D31" s="3" t="s">
        <v>67</v>
      </c>
      <c r="E31" s="3" t="s">
        <v>20</v>
      </c>
      <c r="F31" s="3" t="n">
        <v>1700</v>
      </c>
      <c r="G31" s="3" t="n">
        <v>2200</v>
      </c>
      <c r="H31" s="3" t="n">
        <v>1</v>
      </c>
      <c r="I31" s="3" t="s">
        <v>21</v>
      </c>
      <c r="J31" s="3" t="s">
        <v>22</v>
      </c>
      <c r="K31" s="4" t="n">
        <v>888.61</v>
      </c>
      <c r="L31" s="3" t="s">
        <v>23</v>
      </c>
      <c r="M31" s="4" t="n">
        <v>500</v>
      </c>
      <c r="N31" s="4" t="n">
        <v>160</v>
      </c>
      <c r="O31" s="4" t="n">
        <f aca="false">K31+M31+N31</f>
        <v>1548.61</v>
      </c>
      <c r="P31" s="3" t="s">
        <v>24</v>
      </c>
    </row>
    <row r="32" customFormat="false" ht="15" hidden="false" customHeight="true" outlineLevel="0" collapsed="false">
      <c r="A32" s="3" t="s">
        <v>16</v>
      </c>
      <c r="B32" s="3" t="s">
        <v>68</v>
      </c>
      <c r="C32" s="3" t="s">
        <v>64</v>
      </c>
      <c r="D32" s="3" t="s">
        <v>67</v>
      </c>
      <c r="E32" s="3" t="s">
        <v>20</v>
      </c>
      <c r="F32" s="3" t="n">
        <v>1700</v>
      </c>
      <c r="G32" s="3" t="n">
        <v>2200</v>
      </c>
      <c r="H32" s="3" t="n">
        <v>1</v>
      </c>
      <c r="I32" s="3" t="s">
        <v>21</v>
      </c>
      <c r="J32" s="3" t="s">
        <v>22</v>
      </c>
      <c r="K32" s="4" t="n">
        <v>888.61</v>
      </c>
      <c r="L32" s="3" t="s">
        <v>23</v>
      </c>
      <c r="M32" s="4" t="n">
        <v>500</v>
      </c>
      <c r="N32" s="4" t="n">
        <v>160</v>
      </c>
      <c r="O32" s="4" t="n">
        <f aca="false">K32+M32+N32</f>
        <v>1548.61</v>
      </c>
      <c r="P32" s="3" t="s">
        <v>24</v>
      </c>
    </row>
    <row r="33" customFormat="false" ht="15" hidden="false" customHeight="true" outlineLevel="0" collapsed="false">
      <c r="A33" s="3" t="s">
        <v>16</v>
      </c>
      <c r="B33" s="3" t="s">
        <v>69</v>
      </c>
      <c r="C33" s="3" t="s">
        <v>64</v>
      </c>
      <c r="D33" s="3" t="s">
        <v>67</v>
      </c>
      <c r="E33" s="3" t="s">
        <v>20</v>
      </c>
      <c r="F33" s="3" t="n">
        <v>1700</v>
      </c>
      <c r="G33" s="3" t="n">
        <v>2200</v>
      </c>
      <c r="H33" s="3" t="n">
        <v>1</v>
      </c>
      <c r="I33" s="3" t="s">
        <v>21</v>
      </c>
      <c r="J33" s="3" t="s">
        <v>22</v>
      </c>
      <c r="K33" s="4" t="n">
        <v>888.61</v>
      </c>
      <c r="L33" s="3" t="s">
        <v>23</v>
      </c>
      <c r="M33" s="4" t="n">
        <v>500</v>
      </c>
      <c r="N33" s="4" t="n">
        <v>160</v>
      </c>
      <c r="O33" s="4" t="n">
        <f aca="false">K33+M33+N33</f>
        <v>1548.61</v>
      </c>
      <c r="P33" s="3" t="s">
        <v>24</v>
      </c>
    </row>
    <row r="34" customFormat="false" ht="15" hidden="false" customHeight="true" outlineLevel="0" collapsed="false">
      <c r="A34" s="3" t="s">
        <v>16</v>
      </c>
      <c r="B34" s="3" t="s">
        <v>70</v>
      </c>
      <c r="C34" s="3" t="s">
        <v>64</v>
      </c>
      <c r="D34" s="3" t="s">
        <v>67</v>
      </c>
      <c r="E34" s="3" t="s">
        <v>20</v>
      </c>
      <c r="F34" s="3" t="n">
        <v>1700</v>
      </c>
      <c r="G34" s="3" t="n">
        <v>2200</v>
      </c>
      <c r="H34" s="3" t="n">
        <v>1</v>
      </c>
      <c r="I34" s="3" t="s">
        <v>21</v>
      </c>
      <c r="J34" s="3" t="s">
        <v>22</v>
      </c>
      <c r="K34" s="4" t="n">
        <v>888.61</v>
      </c>
      <c r="L34" s="3" t="s">
        <v>23</v>
      </c>
      <c r="M34" s="4" t="n">
        <v>500</v>
      </c>
      <c r="N34" s="4" t="n">
        <v>160</v>
      </c>
      <c r="O34" s="4" t="n">
        <f aca="false">K34+M34+N34</f>
        <v>1548.61</v>
      </c>
      <c r="P34" s="3" t="s">
        <v>24</v>
      </c>
    </row>
    <row r="35" customFormat="false" ht="15" hidden="false" customHeight="true" outlineLevel="0" collapsed="false">
      <c r="A35" s="3" t="s">
        <v>16</v>
      </c>
      <c r="B35" s="3" t="s">
        <v>71</v>
      </c>
      <c r="C35" s="3" t="s">
        <v>64</v>
      </c>
      <c r="D35" s="3" t="s">
        <v>72</v>
      </c>
      <c r="E35" s="3" t="s">
        <v>20</v>
      </c>
      <c r="F35" s="3" t="n">
        <v>1380</v>
      </c>
      <c r="G35" s="3" t="n">
        <v>1430</v>
      </c>
      <c r="H35" s="3" t="n">
        <v>1</v>
      </c>
      <c r="I35" s="3" t="s">
        <v>21</v>
      </c>
      <c r="J35" s="3" t="s">
        <v>22</v>
      </c>
      <c r="K35" s="4" t="n">
        <v>441.96</v>
      </c>
      <c r="L35" s="3" t="s">
        <v>38</v>
      </c>
      <c r="M35" s="4" t="n">
        <v>400</v>
      </c>
      <c r="N35" s="4" t="n">
        <v>160</v>
      </c>
      <c r="O35" s="4" t="n">
        <f aca="false">K35+M35+N35</f>
        <v>1001.96</v>
      </c>
      <c r="P35" s="3" t="s">
        <v>24</v>
      </c>
    </row>
    <row r="36" customFormat="false" ht="15" hidden="false" customHeight="true" outlineLevel="0" collapsed="false">
      <c r="A36" s="3" t="s">
        <v>16</v>
      </c>
      <c r="B36" s="3" t="s">
        <v>73</v>
      </c>
      <c r="C36" s="3" t="s">
        <v>64</v>
      </c>
      <c r="D36" s="3" t="s">
        <v>74</v>
      </c>
      <c r="E36" s="3" t="s">
        <v>20</v>
      </c>
      <c r="F36" s="3" t="n">
        <v>1700</v>
      </c>
      <c r="G36" s="3" t="n">
        <v>2160</v>
      </c>
      <c r="H36" s="3" t="n">
        <v>1</v>
      </c>
      <c r="I36" s="3" t="s">
        <v>21</v>
      </c>
      <c r="J36" s="3" t="s">
        <v>22</v>
      </c>
      <c r="K36" s="4" t="n">
        <v>879.47</v>
      </c>
      <c r="L36" s="3" t="s">
        <v>23</v>
      </c>
      <c r="M36" s="4" t="n">
        <v>500</v>
      </c>
      <c r="N36" s="4" t="n">
        <v>160</v>
      </c>
      <c r="O36" s="4" t="n">
        <f aca="false">K36+M36+N36</f>
        <v>1539.47</v>
      </c>
      <c r="P36" s="3" t="s">
        <v>24</v>
      </c>
    </row>
    <row r="37" customFormat="false" ht="15" hidden="false" customHeight="true" outlineLevel="0" collapsed="false">
      <c r="A37" s="3" t="s">
        <v>16</v>
      </c>
      <c r="B37" s="3" t="s">
        <v>75</v>
      </c>
      <c r="C37" s="3" t="s">
        <v>64</v>
      </c>
      <c r="D37" s="3" t="s">
        <v>74</v>
      </c>
      <c r="E37" s="3" t="s">
        <v>20</v>
      </c>
      <c r="F37" s="3" t="n">
        <v>1700</v>
      </c>
      <c r="G37" s="3" t="n">
        <v>2160</v>
      </c>
      <c r="H37" s="3" t="n">
        <v>1</v>
      </c>
      <c r="I37" s="3" t="s">
        <v>21</v>
      </c>
      <c r="J37" s="3" t="s">
        <v>22</v>
      </c>
      <c r="K37" s="4" t="n">
        <v>879.47</v>
      </c>
      <c r="L37" s="3" t="s">
        <v>23</v>
      </c>
      <c r="M37" s="4" t="n">
        <v>500</v>
      </c>
      <c r="N37" s="4" t="n">
        <v>160</v>
      </c>
      <c r="O37" s="4" t="n">
        <f aca="false">K37+M37+N37</f>
        <v>1539.47</v>
      </c>
      <c r="P37" s="3" t="s">
        <v>24</v>
      </c>
    </row>
    <row r="38" customFormat="false" ht="15" hidden="false" customHeight="true" outlineLevel="0" collapsed="false">
      <c r="A38" s="3" t="s">
        <v>16</v>
      </c>
      <c r="B38" s="3" t="s">
        <v>76</v>
      </c>
      <c r="C38" s="3" t="s">
        <v>64</v>
      </c>
      <c r="D38" s="3" t="s">
        <v>77</v>
      </c>
      <c r="E38" s="3" t="s">
        <v>20</v>
      </c>
      <c r="F38" s="3" t="n">
        <v>1370</v>
      </c>
      <c r="G38" s="3" t="n">
        <v>1440</v>
      </c>
      <c r="H38" s="3" t="n">
        <v>1</v>
      </c>
      <c r="I38" s="3" t="s">
        <v>21</v>
      </c>
      <c r="J38" s="3" t="s">
        <v>22</v>
      </c>
      <c r="K38" s="4" t="n">
        <v>441.62</v>
      </c>
      <c r="L38" s="3" t="s">
        <v>38</v>
      </c>
      <c r="M38" s="4" t="n">
        <v>400</v>
      </c>
      <c r="N38" s="4" t="n">
        <v>160</v>
      </c>
      <c r="O38" s="4" t="n">
        <f aca="false">K38+M38+N38</f>
        <v>1001.62</v>
      </c>
      <c r="P38" s="3" t="s">
        <v>24</v>
      </c>
    </row>
    <row r="39" customFormat="false" ht="15" hidden="false" customHeight="true" outlineLevel="0" collapsed="false">
      <c r="A39" s="3" t="s">
        <v>16</v>
      </c>
      <c r="B39" s="3" t="s">
        <v>78</v>
      </c>
      <c r="C39" s="3" t="s">
        <v>64</v>
      </c>
      <c r="D39" s="3" t="s">
        <v>79</v>
      </c>
      <c r="E39" s="3" t="s">
        <v>20</v>
      </c>
      <c r="F39" s="3" t="n">
        <v>1700</v>
      </c>
      <c r="G39" s="3" t="n">
        <v>2150</v>
      </c>
      <c r="H39" s="3" t="n">
        <v>1</v>
      </c>
      <c r="I39" s="3" t="s">
        <v>21</v>
      </c>
      <c r="J39" s="3" t="s">
        <v>22</v>
      </c>
      <c r="K39" s="4" t="n">
        <v>877.19</v>
      </c>
      <c r="L39" s="3" t="s">
        <v>23</v>
      </c>
      <c r="M39" s="4" t="n">
        <v>500</v>
      </c>
      <c r="N39" s="4" t="n">
        <v>160</v>
      </c>
      <c r="O39" s="4" t="n">
        <f aca="false">K39+M39+N39</f>
        <v>1537.19</v>
      </c>
      <c r="P39" s="3" t="s">
        <v>24</v>
      </c>
    </row>
    <row r="40" customFormat="false" ht="15" hidden="false" customHeight="true" outlineLevel="0" collapsed="false">
      <c r="A40" s="3" t="s">
        <v>16</v>
      </c>
      <c r="B40" s="3" t="s">
        <v>80</v>
      </c>
      <c r="C40" s="3" t="s">
        <v>64</v>
      </c>
      <c r="D40" s="3" t="s">
        <v>79</v>
      </c>
      <c r="E40" s="3" t="s">
        <v>20</v>
      </c>
      <c r="F40" s="3" t="n">
        <v>1700</v>
      </c>
      <c r="G40" s="3" t="n">
        <v>2150</v>
      </c>
      <c r="H40" s="3" t="n">
        <v>1</v>
      </c>
      <c r="I40" s="3" t="s">
        <v>21</v>
      </c>
      <c r="J40" s="3" t="s">
        <v>22</v>
      </c>
      <c r="K40" s="4" t="n">
        <v>877.19</v>
      </c>
      <c r="L40" s="3" t="s">
        <v>23</v>
      </c>
      <c r="M40" s="4" t="n">
        <v>500</v>
      </c>
      <c r="N40" s="4" t="n">
        <v>160</v>
      </c>
      <c r="O40" s="4" t="n">
        <f aca="false">K40+M40+N40</f>
        <v>1537.19</v>
      </c>
      <c r="P40" s="3" t="s">
        <v>24</v>
      </c>
    </row>
    <row r="41" customFormat="false" ht="15" hidden="false" customHeight="true" outlineLevel="0" collapsed="false">
      <c r="A41" s="3" t="s">
        <v>16</v>
      </c>
      <c r="B41" s="3" t="s">
        <v>81</v>
      </c>
      <c r="C41" s="3" t="s">
        <v>64</v>
      </c>
      <c r="D41" s="3" t="s">
        <v>79</v>
      </c>
      <c r="E41" s="3" t="s">
        <v>20</v>
      </c>
      <c r="F41" s="3" t="n">
        <v>1700</v>
      </c>
      <c r="G41" s="3" t="n">
        <v>2150</v>
      </c>
      <c r="H41" s="3" t="n">
        <v>1</v>
      </c>
      <c r="I41" s="3" t="s">
        <v>21</v>
      </c>
      <c r="J41" s="3" t="s">
        <v>22</v>
      </c>
      <c r="K41" s="4" t="n">
        <v>877.19</v>
      </c>
      <c r="L41" s="3" t="s">
        <v>23</v>
      </c>
      <c r="M41" s="4" t="n">
        <v>500</v>
      </c>
      <c r="N41" s="4" t="n">
        <v>160</v>
      </c>
      <c r="O41" s="4" t="n">
        <f aca="false">K41+M41+N41</f>
        <v>1537.19</v>
      </c>
      <c r="P41" s="3" t="s">
        <v>24</v>
      </c>
    </row>
    <row r="42" customFormat="false" ht="15" hidden="false" customHeight="true" outlineLevel="0" collapsed="false">
      <c r="A42" s="3" t="s">
        <v>16</v>
      </c>
      <c r="B42" s="3" t="s">
        <v>82</v>
      </c>
      <c r="C42" s="3" t="s">
        <v>64</v>
      </c>
      <c r="D42" s="3" t="s">
        <v>79</v>
      </c>
      <c r="E42" s="3" t="s">
        <v>20</v>
      </c>
      <c r="F42" s="3" t="n">
        <v>1700</v>
      </c>
      <c r="G42" s="3" t="n">
        <v>2150</v>
      </c>
      <c r="H42" s="3" t="n">
        <v>1</v>
      </c>
      <c r="I42" s="3" t="s">
        <v>21</v>
      </c>
      <c r="J42" s="3" t="s">
        <v>22</v>
      </c>
      <c r="K42" s="4" t="n">
        <v>877.19</v>
      </c>
      <c r="L42" s="3" t="s">
        <v>23</v>
      </c>
      <c r="M42" s="4" t="n">
        <v>500</v>
      </c>
      <c r="N42" s="4" t="n">
        <v>160</v>
      </c>
      <c r="O42" s="4" t="n">
        <f aca="false">K42+M42+N42</f>
        <v>1537.19</v>
      </c>
      <c r="P42" s="3" t="s">
        <v>24</v>
      </c>
    </row>
    <row r="43" customFormat="false" ht="15" hidden="false" customHeight="true" outlineLevel="0" collapsed="false">
      <c r="A43" s="3" t="s">
        <v>16</v>
      </c>
      <c r="B43" s="3" t="s">
        <v>83</v>
      </c>
      <c r="C43" s="3" t="s">
        <v>64</v>
      </c>
      <c r="D43" s="3" t="s">
        <v>84</v>
      </c>
      <c r="E43" s="3" t="s">
        <v>20</v>
      </c>
      <c r="F43" s="3" t="n">
        <v>760</v>
      </c>
      <c r="G43" s="3" t="n">
        <v>2130</v>
      </c>
      <c r="H43" s="3" t="n">
        <v>1</v>
      </c>
      <c r="I43" s="3" t="s">
        <v>21</v>
      </c>
      <c r="J43" s="3" t="s">
        <v>22</v>
      </c>
      <c r="K43" s="4" t="n">
        <v>480.71</v>
      </c>
      <c r="L43" s="3" t="s">
        <v>38</v>
      </c>
      <c r="M43" s="4" t="n">
        <v>400</v>
      </c>
      <c r="N43" s="4" t="n">
        <v>160</v>
      </c>
      <c r="O43" s="4" t="n">
        <f aca="false">K43+M43+N43</f>
        <v>1040.71</v>
      </c>
      <c r="P43" s="3" t="s">
        <v>24</v>
      </c>
    </row>
    <row r="44" customFormat="false" ht="15" hidden="false" customHeight="true" outlineLevel="0" collapsed="false">
      <c r="A44" s="3" t="s">
        <v>16</v>
      </c>
      <c r="B44" s="3" t="s">
        <v>85</v>
      </c>
      <c r="C44" s="3" t="s">
        <v>64</v>
      </c>
      <c r="D44" s="3" t="s">
        <v>86</v>
      </c>
      <c r="E44" s="3" t="s">
        <v>20</v>
      </c>
      <c r="F44" s="3" t="n">
        <v>4325</v>
      </c>
      <c r="G44" s="3" t="n">
        <v>2340</v>
      </c>
      <c r="H44" s="3" t="n">
        <v>1</v>
      </c>
      <c r="I44" s="3" t="s">
        <v>21</v>
      </c>
      <c r="J44" s="3" t="s">
        <v>22</v>
      </c>
      <c r="K44" s="4" t="n">
        <v>2385.64</v>
      </c>
      <c r="L44" s="3" t="s">
        <v>41</v>
      </c>
      <c r="M44" s="4" t="n">
        <v>600</v>
      </c>
      <c r="N44" s="4" t="n">
        <v>160</v>
      </c>
      <c r="O44" s="4" t="n">
        <f aca="false">K44+M44+N44</f>
        <v>3145.64</v>
      </c>
      <c r="P44" s="3" t="s">
        <v>24</v>
      </c>
    </row>
    <row r="45" customFormat="false" ht="15" hidden="false" customHeight="true" outlineLevel="0" collapsed="false">
      <c r="A45" s="3" t="s">
        <v>16</v>
      </c>
      <c r="B45" s="3" t="s">
        <v>87</v>
      </c>
      <c r="C45" s="3" t="s">
        <v>64</v>
      </c>
      <c r="D45" s="3" t="s">
        <v>88</v>
      </c>
      <c r="E45" s="3" t="s">
        <v>20</v>
      </c>
      <c r="F45" s="3" t="n">
        <v>1720</v>
      </c>
      <c r="G45" s="3" t="n">
        <v>2240</v>
      </c>
      <c r="H45" s="3" t="n">
        <v>1</v>
      </c>
      <c r="I45" s="3" t="s">
        <v>21</v>
      </c>
      <c r="J45" s="3" t="s">
        <v>22</v>
      </c>
      <c r="K45" s="4" t="n">
        <v>906.13</v>
      </c>
      <c r="L45" s="3" t="s">
        <v>23</v>
      </c>
      <c r="M45" s="4" t="n">
        <v>500</v>
      </c>
      <c r="N45" s="4" t="n">
        <v>160</v>
      </c>
      <c r="O45" s="4" t="n">
        <f aca="false">K45+M45+N45</f>
        <v>1566.13</v>
      </c>
      <c r="P45" s="3" t="s">
        <v>24</v>
      </c>
    </row>
    <row r="46" customFormat="false" ht="15" hidden="false" customHeight="true" outlineLevel="0" collapsed="false">
      <c r="A46" s="3" t="s">
        <v>16</v>
      </c>
      <c r="B46" s="3" t="s">
        <v>89</v>
      </c>
      <c r="C46" s="3" t="s">
        <v>64</v>
      </c>
      <c r="D46" s="3" t="s">
        <v>67</v>
      </c>
      <c r="E46" s="3" t="s">
        <v>20</v>
      </c>
      <c r="F46" s="3" t="n">
        <v>1700</v>
      </c>
      <c r="G46" s="3" t="n">
        <v>2200</v>
      </c>
      <c r="H46" s="3" t="n">
        <v>1</v>
      </c>
      <c r="I46" s="3" t="s">
        <v>21</v>
      </c>
      <c r="J46" s="3" t="s">
        <v>22</v>
      </c>
      <c r="K46" s="4" t="n">
        <v>888.61</v>
      </c>
      <c r="L46" s="3" t="s">
        <v>23</v>
      </c>
      <c r="M46" s="4" t="n">
        <v>500</v>
      </c>
      <c r="N46" s="4" t="n">
        <v>160</v>
      </c>
      <c r="O46" s="4" t="n">
        <f aca="false">K46+M46+N46</f>
        <v>1548.61</v>
      </c>
      <c r="P46" s="3" t="s">
        <v>24</v>
      </c>
    </row>
    <row r="47" customFormat="false" ht="15" hidden="false" customHeight="true" outlineLevel="0" collapsed="false">
      <c r="A47" s="3" t="s">
        <v>16</v>
      </c>
      <c r="B47" s="3" t="s">
        <v>90</v>
      </c>
      <c r="C47" s="3" t="s">
        <v>64</v>
      </c>
      <c r="D47" s="3" t="s">
        <v>67</v>
      </c>
      <c r="E47" s="3" t="s">
        <v>20</v>
      </c>
      <c r="F47" s="3" t="n">
        <v>1700</v>
      </c>
      <c r="G47" s="3" t="n">
        <v>2200</v>
      </c>
      <c r="H47" s="3" t="n">
        <v>1</v>
      </c>
      <c r="I47" s="3" t="s">
        <v>21</v>
      </c>
      <c r="J47" s="3" t="s">
        <v>22</v>
      </c>
      <c r="K47" s="4" t="n">
        <v>888.61</v>
      </c>
      <c r="L47" s="3" t="s">
        <v>23</v>
      </c>
      <c r="M47" s="4" t="n">
        <v>500</v>
      </c>
      <c r="N47" s="4" t="n">
        <v>160</v>
      </c>
      <c r="O47" s="4" t="n">
        <f aca="false">K47+M47+N47</f>
        <v>1548.61</v>
      </c>
      <c r="P47" s="3" t="s">
        <v>24</v>
      </c>
    </row>
    <row r="48" customFormat="false" ht="15" hidden="false" customHeight="true" outlineLevel="0" collapsed="false">
      <c r="A48" s="3" t="s">
        <v>16</v>
      </c>
      <c r="B48" s="3" t="s">
        <v>91</v>
      </c>
      <c r="C48" s="3" t="s">
        <v>64</v>
      </c>
      <c r="D48" s="3" t="s">
        <v>92</v>
      </c>
      <c r="E48" s="3" t="s">
        <v>20</v>
      </c>
      <c r="F48" s="3" t="n">
        <v>2350</v>
      </c>
      <c r="G48" s="3" t="n">
        <v>2200</v>
      </c>
      <c r="H48" s="3" t="n">
        <v>1</v>
      </c>
      <c r="I48" s="3" t="s">
        <v>21</v>
      </c>
      <c r="J48" s="3" t="s">
        <v>22</v>
      </c>
      <c r="K48" s="4" t="n">
        <v>1316.07</v>
      </c>
      <c r="L48" s="3" t="s">
        <v>23</v>
      </c>
      <c r="M48" s="4" t="n">
        <v>500</v>
      </c>
      <c r="N48" s="4" t="n">
        <v>160</v>
      </c>
      <c r="O48" s="4" t="n">
        <f aca="false">K48+M48+N48</f>
        <v>1976.07</v>
      </c>
      <c r="P48" s="3" t="s">
        <v>24</v>
      </c>
    </row>
    <row r="49" customFormat="false" ht="15" hidden="false" customHeight="true" outlineLevel="0" collapsed="false">
      <c r="A49" s="3" t="s">
        <v>93</v>
      </c>
      <c r="B49" s="3" t="s">
        <v>94</v>
      </c>
      <c r="C49" s="3" t="s">
        <v>95</v>
      </c>
      <c r="D49" s="3" t="s">
        <v>96</v>
      </c>
      <c r="E49" s="3" t="s">
        <v>97</v>
      </c>
      <c r="F49" s="3" t="n">
        <v>2075</v>
      </c>
      <c r="G49" s="3" t="n">
        <v>2350</v>
      </c>
      <c r="H49" s="3" t="n">
        <v>1</v>
      </c>
      <c r="I49" s="3" t="s">
        <v>21</v>
      </c>
      <c r="J49" s="3" t="s">
        <v>98</v>
      </c>
      <c r="K49" s="4" t="n">
        <v>3370.9</v>
      </c>
      <c r="L49" s="3" t="s">
        <v>99</v>
      </c>
      <c r="M49" s="4" t="n">
        <v>1950</v>
      </c>
      <c r="N49" s="4" t="n">
        <v>500</v>
      </c>
      <c r="O49" s="4" t="n">
        <f aca="false">K49+M49+N49</f>
        <v>5820.9</v>
      </c>
      <c r="P49" s="3"/>
    </row>
    <row r="50" customFormat="false" ht="15" hidden="false" customHeight="true" outlineLevel="0" collapsed="false">
      <c r="A50" s="3" t="s">
        <v>93</v>
      </c>
      <c r="B50" s="3" t="s">
        <v>100</v>
      </c>
      <c r="C50" s="3" t="s">
        <v>95</v>
      </c>
      <c r="D50" s="3" t="s">
        <v>101</v>
      </c>
      <c r="E50" s="3" t="s">
        <v>97</v>
      </c>
      <c r="F50" s="3" t="n">
        <v>640</v>
      </c>
      <c r="G50" s="3" t="n">
        <v>2330</v>
      </c>
      <c r="H50" s="3" t="n">
        <v>1</v>
      </c>
      <c r="I50" s="3" t="s">
        <v>21</v>
      </c>
      <c r="J50" s="3" t="s">
        <v>98</v>
      </c>
      <c r="K50" s="4" t="n">
        <v>1704.83</v>
      </c>
      <c r="L50" s="3" t="s">
        <v>102</v>
      </c>
      <c r="M50" s="4" t="n">
        <v>1150</v>
      </c>
      <c r="N50" s="4" t="n">
        <v>250</v>
      </c>
      <c r="O50" s="4" t="n">
        <f aca="false">K50+M50+N50</f>
        <v>3104.83</v>
      </c>
      <c r="P50" s="3" t="s">
        <v>103</v>
      </c>
    </row>
    <row r="51" customFormat="false" ht="15" hidden="false" customHeight="true" outlineLevel="0" collapsed="false">
      <c r="A51" s="3" t="s">
        <v>93</v>
      </c>
      <c r="B51" s="3" t="s">
        <v>104</v>
      </c>
      <c r="C51" s="3" t="s">
        <v>105</v>
      </c>
      <c r="D51" s="3" t="s">
        <v>106</v>
      </c>
      <c r="E51" s="3" t="s">
        <v>97</v>
      </c>
      <c r="F51" s="3" t="n">
        <v>1720</v>
      </c>
      <c r="G51" s="3" t="n">
        <v>2970</v>
      </c>
      <c r="H51" s="3" t="n">
        <v>1</v>
      </c>
      <c r="I51" s="3" t="s">
        <v>21</v>
      </c>
      <c r="J51" s="3" t="s">
        <v>98</v>
      </c>
      <c r="K51" s="4" t="n">
        <v>4895.43</v>
      </c>
      <c r="L51" s="3" t="s">
        <v>99</v>
      </c>
      <c r="M51" s="4" t="n">
        <v>1950</v>
      </c>
      <c r="N51" s="4" t="n">
        <v>500</v>
      </c>
      <c r="O51" s="4" t="n">
        <f aca="false">K51+M51+N51</f>
        <v>7345.43</v>
      </c>
      <c r="P51" s="3" t="s">
        <v>107</v>
      </c>
    </row>
    <row r="52" customFormat="false" ht="15" hidden="false" customHeight="true" outlineLevel="0" collapsed="false">
      <c r="A52" s="3" t="s">
        <v>93</v>
      </c>
      <c r="B52" s="3" t="s">
        <v>108</v>
      </c>
      <c r="C52" s="3" t="s">
        <v>109</v>
      </c>
      <c r="D52" s="3" t="s">
        <v>110</v>
      </c>
      <c r="E52" s="3" t="s">
        <v>97</v>
      </c>
      <c r="F52" s="3" t="n">
        <v>1700</v>
      </c>
      <c r="G52" s="3" t="n">
        <v>2960</v>
      </c>
      <c r="H52" s="3" t="n">
        <v>1</v>
      </c>
      <c r="I52" s="3" t="s">
        <v>21</v>
      </c>
      <c r="J52" s="3" t="s">
        <v>98</v>
      </c>
      <c r="K52" s="4" t="n">
        <v>3837.33</v>
      </c>
      <c r="L52" s="3" t="s">
        <v>99</v>
      </c>
      <c r="M52" s="4" t="n">
        <v>1950</v>
      </c>
      <c r="N52" s="4" t="n">
        <v>500</v>
      </c>
      <c r="O52" s="4" t="n">
        <f aca="false">K52+M52+N52</f>
        <v>6287.33</v>
      </c>
      <c r="P52" s="3" t="s">
        <v>111</v>
      </c>
    </row>
    <row r="53" customFormat="false" ht="15" hidden="false" customHeight="true" outlineLevel="0" collapsed="false">
      <c r="A53" s="3" t="s">
        <v>93</v>
      </c>
      <c r="B53" s="3" t="s">
        <v>112</v>
      </c>
      <c r="C53" s="3" t="s">
        <v>113</v>
      </c>
      <c r="D53" s="3" t="s">
        <v>114</v>
      </c>
      <c r="E53" s="3" t="s">
        <v>97</v>
      </c>
      <c r="F53" s="3" t="n">
        <v>1700</v>
      </c>
      <c r="G53" s="3" t="n">
        <v>2970</v>
      </c>
      <c r="H53" s="3" t="n">
        <v>1</v>
      </c>
      <c r="I53" s="3" t="s">
        <v>21</v>
      </c>
      <c r="J53" s="3" t="s">
        <v>98</v>
      </c>
      <c r="K53" s="4" t="n">
        <v>4872.13</v>
      </c>
      <c r="L53" s="3" t="s">
        <v>99</v>
      </c>
      <c r="M53" s="4" t="n">
        <v>1950</v>
      </c>
      <c r="N53" s="4" t="n">
        <v>500</v>
      </c>
      <c r="O53" s="4" t="n">
        <f aca="false">K53+M53+N53</f>
        <v>7322.13</v>
      </c>
      <c r="P53" s="3" t="s">
        <v>111</v>
      </c>
    </row>
    <row r="54" customFormat="false" ht="15" hidden="false" customHeight="true" outlineLevel="0" collapsed="false">
      <c r="A54" s="3" t="s">
        <v>93</v>
      </c>
      <c r="B54" s="3" t="s">
        <v>115</v>
      </c>
      <c r="C54" s="3" t="s">
        <v>116</v>
      </c>
      <c r="D54" s="3" t="s">
        <v>117</v>
      </c>
      <c r="E54" s="3" t="s">
        <v>97</v>
      </c>
      <c r="F54" s="3" t="n">
        <v>900</v>
      </c>
      <c r="G54" s="3" t="n">
        <v>2380</v>
      </c>
      <c r="H54" s="3" t="n">
        <v>1</v>
      </c>
      <c r="I54" s="3" t="s">
        <v>21</v>
      </c>
      <c r="J54" s="3" t="s">
        <v>98</v>
      </c>
      <c r="K54" s="4" t="n">
        <v>2268</v>
      </c>
      <c r="L54" s="3" t="s">
        <v>102</v>
      </c>
      <c r="M54" s="4" t="n">
        <v>1150</v>
      </c>
      <c r="N54" s="4" t="n">
        <v>250</v>
      </c>
      <c r="O54" s="4" t="n">
        <f aca="false">K54+M54+N54</f>
        <v>3668</v>
      </c>
      <c r="P54" s="3"/>
    </row>
    <row r="55" customFormat="false" ht="15" hidden="false" customHeight="true" outlineLevel="0" collapsed="false">
      <c r="A55" s="3" t="s">
        <v>93</v>
      </c>
      <c r="B55" s="3" t="s">
        <v>118</v>
      </c>
      <c r="C55" s="3" t="s">
        <v>119</v>
      </c>
      <c r="D55" s="3" t="s">
        <v>120</v>
      </c>
      <c r="E55" s="3" t="s">
        <v>97</v>
      </c>
      <c r="F55" s="3" t="n">
        <v>1700</v>
      </c>
      <c r="G55" s="3" t="n">
        <v>2370</v>
      </c>
      <c r="H55" s="3" t="n">
        <v>1</v>
      </c>
      <c r="I55" s="3" t="s">
        <v>21</v>
      </c>
      <c r="J55" s="3" t="s">
        <v>98</v>
      </c>
      <c r="K55" s="4" t="n">
        <v>3404.39</v>
      </c>
      <c r="L55" s="3" t="s">
        <v>99</v>
      </c>
      <c r="M55" s="4" t="n">
        <v>1950</v>
      </c>
      <c r="N55" s="4" t="n">
        <v>500</v>
      </c>
      <c r="O55" s="4" t="n">
        <f aca="false">K55+M55+N55</f>
        <v>5854.39</v>
      </c>
      <c r="P55" s="3"/>
    </row>
    <row r="56" customFormat="false" ht="15" hidden="false" customHeight="true" outlineLevel="0" collapsed="false">
      <c r="A56" s="3" t="s">
        <v>93</v>
      </c>
      <c r="B56" s="3" t="s">
        <v>121</v>
      </c>
      <c r="C56" s="3" t="s">
        <v>122</v>
      </c>
      <c r="D56" s="3" t="s">
        <v>123</v>
      </c>
      <c r="E56" s="3" t="s">
        <v>97</v>
      </c>
      <c r="F56" s="3" t="n">
        <v>900</v>
      </c>
      <c r="G56" s="3" t="n">
        <v>2350</v>
      </c>
      <c r="H56" s="3" t="n">
        <v>1</v>
      </c>
      <c r="I56" s="3" t="s">
        <v>21</v>
      </c>
      <c r="J56" s="3" t="s">
        <v>98</v>
      </c>
      <c r="K56" s="4" t="n">
        <v>2191.65</v>
      </c>
      <c r="L56" s="3" t="s">
        <v>102</v>
      </c>
      <c r="M56" s="4" t="n">
        <v>1150</v>
      </c>
      <c r="N56" s="4" t="n">
        <v>250</v>
      </c>
      <c r="O56" s="4" t="n">
        <f aca="false">K56+M56+N56</f>
        <v>3591.65</v>
      </c>
      <c r="P56" s="3"/>
    </row>
    <row r="57" customFormat="false" ht="15" hidden="false" customHeight="true" outlineLevel="0" collapsed="false">
      <c r="A57" s="3" t="s">
        <v>93</v>
      </c>
      <c r="B57" s="3" t="s">
        <v>124</v>
      </c>
      <c r="C57" s="3" t="s">
        <v>122</v>
      </c>
      <c r="D57" s="3" t="s">
        <v>125</v>
      </c>
      <c r="E57" s="3" t="s">
        <v>97</v>
      </c>
      <c r="F57" s="3" t="n">
        <v>1740</v>
      </c>
      <c r="G57" s="3" t="n">
        <v>2360</v>
      </c>
      <c r="H57" s="3" t="n">
        <v>1</v>
      </c>
      <c r="I57" s="3" t="s">
        <v>21</v>
      </c>
      <c r="J57" s="3" t="s">
        <v>98</v>
      </c>
      <c r="K57" s="4" t="n">
        <v>2682.57</v>
      </c>
      <c r="L57" s="3" t="s">
        <v>126</v>
      </c>
      <c r="M57" s="4" t="n">
        <v>1850</v>
      </c>
      <c r="N57" s="4" t="n">
        <v>410</v>
      </c>
      <c r="O57" s="4" t="n">
        <f aca="false">K57+M57+N57</f>
        <v>4942.57</v>
      </c>
      <c r="P57" s="3" t="s">
        <v>127</v>
      </c>
    </row>
    <row r="58" customFormat="false" ht="15" hidden="false" customHeight="true" outlineLevel="0" collapsed="false">
      <c r="A58" s="3" t="s">
        <v>93</v>
      </c>
      <c r="B58" s="3" t="s">
        <v>128</v>
      </c>
      <c r="C58" s="3" t="s">
        <v>129</v>
      </c>
      <c r="D58" s="3" t="s">
        <v>130</v>
      </c>
      <c r="E58" s="3" t="s">
        <v>97</v>
      </c>
      <c r="F58" s="3" t="n">
        <v>1700</v>
      </c>
      <c r="G58" s="3" t="n">
        <v>2360</v>
      </c>
      <c r="H58" s="3" t="n">
        <v>1</v>
      </c>
      <c r="I58" s="3" t="s">
        <v>21</v>
      </c>
      <c r="J58" s="3" t="s">
        <v>98</v>
      </c>
      <c r="K58" s="4" t="n">
        <v>4495.85</v>
      </c>
      <c r="L58" s="3" t="s">
        <v>99</v>
      </c>
      <c r="M58" s="4" t="n">
        <v>1950</v>
      </c>
      <c r="N58" s="4" t="n">
        <v>500</v>
      </c>
      <c r="O58" s="4" t="n">
        <f aca="false">K58+M58+N58</f>
        <v>6945.85</v>
      </c>
      <c r="P58" s="3" t="s">
        <v>131</v>
      </c>
    </row>
    <row r="59" customFormat="false" ht="15" hidden="false" customHeight="true" outlineLevel="0" collapsed="false">
      <c r="A59" s="5" t="s">
        <v>132</v>
      </c>
      <c r="B59" s="5"/>
      <c r="C59" s="5"/>
      <c r="D59" s="5"/>
      <c r="E59" s="5"/>
      <c r="F59" s="5"/>
      <c r="G59" s="5"/>
      <c r="H59" s="5" t="n">
        <f aca="false">SUM(H2:H58)</f>
        <v>57</v>
      </c>
      <c r="I59" s="5"/>
      <c r="J59" s="5"/>
      <c r="K59" s="6" t="n">
        <f aca="false">SUM(K2:K58)</f>
        <v>67332.06</v>
      </c>
      <c r="L59" s="5"/>
      <c r="M59" s="6" t="n">
        <f aca="false">SUM(M2:M58)</f>
        <v>38800</v>
      </c>
      <c r="N59" s="6" t="n">
        <f aca="false">SUM(N2:N58)</f>
        <v>11680</v>
      </c>
      <c r="O59" s="6" t="n">
        <f aca="false">SUM(O2:O58)</f>
        <v>117812.06</v>
      </c>
      <c r="P5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90"/>
  </cols>
  <sheetData>
    <row r="1" customFormat="false" ht="15" hidden="false" customHeight="true" outlineLevel="0" collapsed="false">
      <c r="A1" s="7" t="s">
        <v>133</v>
      </c>
    </row>
    <row r="3" customFormat="false" ht="34.5" hidden="false" customHeight="true" outlineLevel="0" collapsed="false">
      <c r="A3" s="8" t="s">
        <v>134</v>
      </c>
      <c r="B3" s="9" t="s">
        <v>135</v>
      </c>
    </row>
    <row r="4" customFormat="false" ht="15" hidden="false" customHeight="true" outlineLevel="0" collapsed="false">
      <c r="A4" s="8"/>
      <c r="B4" s="9"/>
    </row>
    <row r="5" customFormat="false" ht="15" hidden="false" customHeight="true" outlineLevel="0" collapsed="false">
      <c r="A5" s="8" t="s">
        <v>136</v>
      </c>
      <c r="B5" s="10" t="n">
        <v>33608.98</v>
      </c>
    </row>
    <row r="6" customFormat="false" ht="15" hidden="false" customHeight="true" outlineLevel="0" collapsed="false">
      <c r="A6" s="8" t="s">
        <v>137</v>
      </c>
      <c r="B6" s="10" t="n">
        <v>33723.08</v>
      </c>
    </row>
    <row r="7" customFormat="false" ht="15" hidden="false" customHeight="true" outlineLevel="0" collapsed="false">
      <c r="A7" s="8" t="s">
        <v>138</v>
      </c>
      <c r="B7" s="10" t="n">
        <f aca="false">'Pricing Document'!K59</f>
        <v>67332.06</v>
      </c>
    </row>
    <row r="8" customFormat="false" ht="15" hidden="false" customHeight="true" outlineLevel="0" collapsed="false">
      <c r="A8" s="8" t="s">
        <v>139</v>
      </c>
      <c r="B8" s="10" t="n">
        <f aca="false">'Pricing Document'!M59</f>
        <v>38800</v>
      </c>
    </row>
    <row r="9" customFormat="false" ht="15" hidden="false" customHeight="true" outlineLevel="0" collapsed="false">
      <c r="A9" s="8" t="s">
        <v>140</v>
      </c>
      <c r="B9" s="10" t="n">
        <f aca="false">'Pricing Document'!N59</f>
        <v>11680</v>
      </c>
    </row>
    <row r="10" customFormat="false" ht="15" hidden="false" customHeight="true" outlineLevel="0" collapsed="false">
      <c r="A10" s="8" t="s">
        <v>141</v>
      </c>
      <c r="B10" s="10" t="n">
        <f aca="false">'Pricing Document'!O59</f>
        <v>117812.06</v>
      </c>
    </row>
    <row r="11" customFormat="false" ht="15" hidden="false" customHeight="true" outlineLevel="0" collapsed="false">
      <c r="A11" s="8" t="s">
        <v>142</v>
      </c>
      <c r="B11" s="10" t="n">
        <f aca="false">ROUND(B10*0.2,2)</f>
        <v>23562.41</v>
      </c>
    </row>
    <row r="12" customFormat="false" ht="15" hidden="false" customHeight="true" outlineLevel="0" collapsed="false">
      <c r="A12" s="8" t="s">
        <v>143</v>
      </c>
      <c r="B12" s="10" t="n">
        <f aca="false">B10+B11</f>
        <v>141374.47</v>
      </c>
    </row>
    <row r="13" customFormat="false" ht="15" hidden="false" customHeight="true" outlineLevel="0" collapsed="false">
      <c r="A13" s="8"/>
      <c r="B13" s="9"/>
    </row>
    <row r="14" customFormat="false" ht="23.25" hidden="false" customHeight="true" outlineLevel="0" collapsed="false">
      <c r="A14" s="8" t="s">
        <v>144</v>
      </c>
      <c r="B14" s="9" t="s">
        <v>145</v>
      </c>
    </row>
    <row r="15" customFormat="false" ht="23.25" hidden="false" customHeight="true" outlineLevel="0" collapsed="false">
      <c r="A15" s="8" t="s">
        <v>146</v>
      </c>
      <c r="B15" s="9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50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1" t="s">
        <v>148</v>
      </c>
      <c r="B1" s="11" t="s">
        <v>9</v>
      </c>
      <c r="C1" s="11" t="s">
        <v>149</v>
      </c>
      <c r="D1" s="11" t="s">
        <v>150</v>
      </c>
      <c r="E1" s="11" t="s">
        <v>151</v>
      </c>
      <c r="F1" s="11" t="s">
        <v>152</v>
      </c>
    </row>
    <row r="2" customFormat="false" ht="23.25" hidden="false" customHeight="true" outlineLevel="0" collapsed="false">
      <c r="A2" s="9" t="s">
        <v>153</v>
      </c>
      <c r="B2" s="9" t="s">
        <v>154</v>
      </c>
      <c r="C2" s="9" t="s">
        <v>155</v>
      </c>
      <c r="D2" s="9" t="s">
        <v>156</v>
      </c>
      <c r="E2" s="9" t="s">
        <v>157</v>
      </c>
      <c r="F2" s="9" t="s">
        <v>158</v>
      </c>
    </row>
    <row r="3" customFormat="false" ht="23.25" hidden="false" customHeight="true" outlineLevel="0" collapsed="false">
      <c r="A3" s="9" t="s">
        <v>159</v>
      </c>
      <c r="B3" s="9" t="s">
        <v>160</v>
      </c>
      <c r="C3" s="9" t="s">
        <v>161</v>
      </c>
      <c r="D3" s="9" t="s">
        <v>156</v>
      </c>
      <c r="E3" s="9" t="s">
        <v>162</v>
      </c>
      <c r="F3" s="9" t="s">
        <v>163</v>
      </c>
    </row>
    <row r="4" customFormat="false" ht="23.25" hidden="false" customHeight="true" outlineLevel="0" collapsed="false">
      <c r="A4" s="9" t="s">
        <v>164</v>
      </c>
      <c r="B4" s="9" t="s">
        <v>165</v>
      </c>
      <c r="C4" s="9" t="s">
        <v>166</v>
      </c>
      <c r="D4" s="9" t="s">
        <v>167</v>
      </c>
      <c r="E4" s="9" t="s">
        <v>168</v>
      </c>
      <c r="F4" s="9" t="s">
        <v>169</v>
      </c>
    </row>
    <row r="5" customFormat="false" ht="23.25" hidden="false" customHeight="true" outlineLevel="0" collapsed="false">
      <c r="A5" s="9" t="s">
        <v>170</v>
      </c>
      <c r="B5" s="9" t="s">
        <v>171</v>
      </c>
      <c r="C5" s="9" t="s">
        <v>172</v>
      </c>
      <c r="D5" s="9" t="s">
        <v>167</v>
      </c>
      <c r="E5" s="9" t="s">
        <v>173</v>
      </c>
      <c r="F5" s="9" t="s">
        <v>174</v>
      </c>
    </row>
    <row r="6" customFormat="false" ht="23.25" hidden="false" customHeight="true" outlineLevel="0" collapsed="false">
      <c r="A6" s="9" t="s">
        <v>175</v>
      </c>
      <c r="B6" s="9" t="s">
        <v>171</v>
      </c>
      <c r="C6" s="9" t="s">
        <v>172</v>
      </c>
      <c r="D6" s="9" t="s">
        <v>167</v>
      </c>
      <c r="E6" s="9" t="s">
        <v>176</v>
      </c>
      <c r="F6" s="9" t="s">
        <v>177</v>
      </c>
    </row>
    <row r="7" customFormat="false" ht="23.25" hidden="false" customHeight="true" outlineLevel="0" collapsed="false">
      <c r="A7" s="9" t="s">
        <v>178</v>
      </c>
      <c r="B7" s="9" t="s">
        <v>179</v>
      </c>
      <c r="C7" s="9" t="s">
        <v>180</v>
      </c>
      <c r="D7" s="9" t="s">
        <v>181</v>
      </c>
      <c r="E7" s="9" t="s">
        <v>182</v>
      </c>
      <c r="F7" s="9" t="s">
        <v>183</v>
      </c>
    </row>
    <row r="8" customFormat="false" ht="15" hidden="false" customHeight="true" outlineLevel="0" collapsed="false">
      <c r="A8" s="9" t="s">
        <v>184</v>
      </c>
      <c r="B8" s="9" t="s">
        <v>185</v>
      </c>
      <c r="C8" s="9" t="s">
        <v>186</v>
      </c>
      <c r="D8" s="9" t="s">
        <v>156</v>
      </c>
      <c r="E8" s="9" t="s">
        <v>187</v>
      </c>
      <c r="F8" s="9" t="s">
        <v>187</v>
      </c>
    </row>
    <row r="9" customFormat="false" ht="15" hidden="false" customHeight="true" outlineLevel="0" collapsed="false">
      <c r="A9" s="9" t="s">
        <v>188</v>
      </c>
      <c r="B9" s="9" t="s">
        <v>171</v>
      </c>
      <c r="C9" s="9" t="s">
        <v>189</v>
      </c>
      <c r="D9" s="9" t="s">
        <v>156</v>
      </c>
      <c r="E9" s="9" t="s">
        <v>190</v>
      </c>
      <c r="F9" s="9" t="s">
        <v>191</v>
      </c>
    </row>
    <row r="10" customFormat="false" ht="23.25" hidden="false" customHeight="true" outlineLevel="0" collapsed="false">
      <c r="A10" s="9" t="s">
        <v>192</v>
      </c>
      <c r="B10" s="9" t="s">
        <v>193</v>
      </c>
      <c r="C10" s="9" t="s">
        <v>194</v>
      </c>
      <c r="D10" s="9" t="s">
        <v>156</v>
      </c>
      <c r="E10" s="9" t="s">
        <v>195</v>
      </c>
      <c r="F10" s="9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11" t="s">
        <v>197</v>
      </c>
      <c r="B1" s="11" t="s">
        <v>198</v>
      </c>
    </row>
    <row r="2" customFormat="false" ht="15" hidden="false" customHeight="true" outlineLevel="0" collapsed="false">
      <c r="A2" s="9" t="s">
        <v>199</v>
      </c>
      <c r="B2" s="9" t="s">
        <v>200</v>
      </c>
    </row>
    <row r="3" customFormat="false" ht="15" hidden="false" customHeight="true" outlineLevel="0" collapsed="false">
      <c r="A3" s="9" t="s">
        <v>199</v>
      </c>
      <c r="B3" s="9" t="s">
        <v>201</v>
      </c>
    </row>
    <row r="4" customFormat="false" ht="15" hidden="false" customHeight="true" outlineLevel="0" collapsed="false">
      <c r="A4" s="9" t="s">
        <v>199</v>
      </c>
      <c r="B4" s="9" t="s">
        <v>202</v>
      </c>
    </row>
    <row r="5" customFormat="false" ht="15" hidden="false" customHeight="true" outlineLevel="0" collapsed="false">
      <c r="A5" s="9" t="s">
        <v>199</v>
      </c>
      <c r="B5" s="9" t="s">
        <v>203</v>
      </c>
    </row>
    <row r="6" customFormat="false" ht="15" hidden="false" customHeight="true" outlineLevel="0" collapsed="false">
      <c r="A6" s="9" t="s">
        <v>199</v>
      </c>
      <c r="B6" s="9" t="s">
        <v>204</v>
      </c>
    </row>
    <row r="7" customFormat="false" ht="15" hidden="false" customHeight="true" outlineLevel="0" collapsed="false">
      <c r="A7" s="9" t="s">
        <v>205</v>
      </c>
      <c r="B7" s="9" t="s">
        <v>206</v>
      </c>
    </row>
    <row r="8" customFormat="false" ht="15" hidden="false" customHeight="true" outlineLevel="0" collapsed="false">
      <c r="A8" s="9" t="s">
        <v>205</v>
      </c>
      <c r="B8" s="9" t="s">
        <v>207</v>
      </c>
    </row>
    <row r="9" customFormat="false" ht="15" hidden="false" customHeight="true" outlineLevel="0" collapsed="false">
      <c r="A9" s="9" t="s">
        <v>205</v>
      </c>
      <c r="B9" s="9" t="s">
        <v>208</v>
      </c>
    </row>
    <row r="10" customFormat="false" ht="15" hidden="false" customHeight="true" outlineLevel="0" collapsed="false">
      <c r="A10" s="9" t="s">
        <v>205</v>
      </c>
      <c r="B10" s="9" t="s">
        <v>209</v>
      </c>
    </row>
    <row r="11" customFormat="false" ht="15" hidden="false" customHeight="true" outlineLevel="0" collapsed="false">
      <c r="A11" s="9" t="s">
        <v>205</v>
      </c>
      <c r="B11" s="9" t="s">
        <v>210</v>
      </c>
    </row>
    <row r="12" customFormat="false" ht="15" hidden="false" customHeight="true" outlineLevel="0" collapsed="false">
      <c r="A12" s="9" t="s">
        <v>205</v>
      </c>
      <c r="B12" s="9" t="s">
        <v>211</v>
      </c>
    </row>
    <row r="13" customFormat="false" ht="15" hidden="false" customHeight="true" outlineLevel="0" collapsed="false">
      <c r="A13" s="9" t="s">
        <v>205</v>
      </c>
      <c r="B13" s="9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15" hidden="false" customHeight="true" outlineLevel="0" collapsed="false">
      <c r="A1" s="11" t="s">
        <v>213</v>
      </c>
      <c r="B1" s="11" t="s">
        <v>214</v>
      </c>
      <c r="C1" s="11" t="s">
        <v>215</v>
      </c>
      <c r="D1" s="11" t="s">
        <v>216</v>
      </c>
    </row>
    <row r="2" customFormat="false" ht="15" hidden="false" customHeight="true" outlineLevel="0" collapsed="false">
      <c r="A2" s="9" t="n">
        <v>1</v>
      </c>
      <c r="B2" s="9" t="s">
        <v>217</v>
      </c>
      <c r="C2" s="9" t="s">
        <v>218</v>
      </c>
      <c r="D2" s="9" t="s">
        <v>219</v>
      </c>
    </row>
    <row r="3" customFormat="false" ht="15" hidden="false" customHeight="true" outlineLevel="0" collapsed="false">
      <c r="A3" s="9" t="n">
        <v>2</v>
      </c>
      <c r="B3" s="9" t="s">
        <v>220</v>
      </c>
      <c r="C3" s="9" t="s">
        <v>218</v>
      </c>
      <c r="D3" s="9" t="s">
        <v>219</v>
      </c>
    </row>
    <row r="4" customFormat="false" ht="15" hidden="false" customHeight="true" outlineLevel="0" collapsed="false">
      <c r="A4" s="9" t="n">
        <v>3</v>
      </c>
      <c r="B4" s="9" t="s">
        <v>221</v>
      </c>
      <c r="C4" s="9" t="s">
        <v>218</v>
      </c>
      <c r="D4" s="9" t="s">
        <v>219</v>
      </c>
    </row>
    <row r="5" customFormat="false" ht="15" hidden="false" customHeight="true" outlineLevel="0" collapsed="false">
      <c r="A5" s="9" t="n">
        <v>4</v>
      </c>
      <c r="B5" s="9" t="s">
        <v>222</v>
      </c>
      <c r="C5" s="9" t="s">
        <v>223</v>
      </c>
      <c r="D5" s="9" t="s">
        <v>219</v>
      </c>
    </row>
    <row r="6" customFormat="false" ht="15" hidden="false" customHeight="true" outlineLevel="0" collapsed="false">
      <c r="A6" s="9" t="n">
        <v>5</v>
      </c>
      <c r="B6" s="9" t="s">
        <v>224</v>
      </c>
      <c r="C6" s="9" t="s">
        <v>223</v>
      </c>
      <c r="D6" s="9" t="s">
        <v>219</v>
      </c>
    </row>
    <row r="7" customFormat="false" ht="15" hidden="false" customHeight="true" outlineLevel="0" collapsed="false">
      <c r="A7" s="9" t="n">
        <v>6</v>
      </c>
      <c r="B7" s="9" t="s">
        <v>225</v>
      </c>
      <c r="C7" s="9" t="s">
        <v>223</v>
      </c>
      <c r="D7" s="9" t="s">
        <v>219</v>
      </c>
    </row>
    <row r="8" customFormat="false" ht="15" hidden="false" customHeight="true" outlineLevel="0" collapsed="false">
      <c r="A8" s="9" t="n">
        <v>7</v>
      </c>
      <c r="B8" s="9" t="s">
        <v>226</v>
      </c>
      <c r="C8" s="9" t="s">
        <v>223</v>
      </c>
      <c r="D8" s="9" t="s">
        <v>227</v>
      </c>
    </row>
    <row r="9" customFormat="false" ht="15" hidden="false" customHeight="true" outlineLevel="0" collapsed="false">
      <c r="A9" s="9" t="n">
        <v>8</v>
      </c>
      <c r="B9" s="9" t="s">
        <v>228</v>
      </c>
      <c r="C9" s="9" t="s">
        <v>223</v>
      </c>
      <c r="D9" s="9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11" t="s">
        <v>229</v>
      </c>
      <c r="B1" s="11" t="s">
        <v>230</v>
      </c>
    </row>
    <row r="2" customFormat="false" ht="23.25" hidden="false" customHeight="true" outlineLevel="0" collapsed="false">
      <c r="A2" s="9" t="s">
        <v>231</v>
      </c>
      <c r="B2" s="9" t="s">
        <v>232</v>
      </c>
    </row>
    <row r="3" customFormat="false" ht="23.25" hidden="false" customHeight="true" outlineLevel="0" collapsed="false">
      <c r="A3" s="9" t="s">
        <v>233</v>
      </c>
      <c r="B3" s="9" t="s">
        <v>234</v>
      </c>
    </row>
    <row r="4" customFormat="false" ht="23.25" hidden="false" customHeight="true" outlineLevel="0" collapsed="false">
      <c r="A4" s="9" t="s">
        <v>235</v>
      </c>
      <c r="B4" s="9" t="s">
        <v>236</v>
      </c>
    </row>
    <row r="5" customFormat="false" ht="15" hidden="false" customHeight="true" outlineLevel="0" collapsed="false">
      <c r="A5" s="9" t="s">
        <v>237</v>
      </c>
      <c r="B5" s="9" t="s">
        <v>238</v>
      </c>
    </row>
    <row r="6" customFormat="false" ht="23.25" hidden="false" customHeight="true" outlineLevel="0" collapsed="false">
      <c r="A6" s="9" t="s">
        <v>239</v>
      </c>
      <c r="B6" s="9" t="s">
        <v>240</v>
      </c>
    </row>
    <row r="7" customFormat="false" ht="23.25" hidden="false" customHeight="true" outlineLevel="0" collapsed="false">
      <c r="A7" s="9" t="s">
        <v>241</v>
      </c>
      <c r="B7" s="9" t="s">
        <v>242</v>
      </c>
    </row>
    <row r="8" customFormat="false" ht="23.25" hidden="false" customHeight="true" outlineLevel="0" collapsed="false">
      <c r="A8" s="9" t="s">
        <v>243</v>
      </c>
      <c r="B8" s="9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2026-07-02T13:38:47Z</dcterms:created>
  <dc:creator>openpyxl</dc:creator>
  <dc:description/>
  <dc:language>en-US</dc:language>
  <cp:lastModifiedBy/>
  <dcterms:modified xsi:type="dcterms:W3CDTF">2026-07-02T13:39:21Z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