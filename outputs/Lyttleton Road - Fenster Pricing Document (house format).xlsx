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965" firstSheet="0" activeTab="0" autoFilterDateGrouping="1"/>
  </bookViews>
  <sheets>
    <sheet xmlns:r="http://schemas.openxmlformats.org/officeDocument/2006/relationships" name="Pricing Document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ess_Control">'[1]Item Budgets'!$B$156:$B$167</definedName>
    <definedName name="Audio_Visual">'[1]Item Budgets'!$B$167:$B$178</definedName>
    <definedName name="Beam">#REF!</definedName>
    <definedName name="Beams">#REF!</definedName>
    <definedName name="BeamTon">#REF!</definedName>
    <definedName name="Channel">#REF!</definedName>
    <definedName name="Channels">#REF!</definedName>
    <definedName name="ChannelTon">#REF!</definedName>
    <definedName name="CHSs">#REF!</definedName>
    <definedName name="Column">#REF!</definedName>
    <definedName name="Columns">#REF!</definedName>
    <definedName name="ColumnTon">#REF!</definedName>
    <definedName name="CONTAINMENT">'[1]Item Budgets'!$B$95:$B$111</definedName>
    <definedName name="DISTRIBUTION">'[1]Item Budgets'!$B$123:$B$134</definedName>
    <definedName name="EMERGENCY_LIGHTING">'[1]Item Budgets'!$B$23:$B$34</definedName>
    <definedName name="Equal">#REF!</definedName>
    <definedName name="EqualTon">#REF!</definedName>
    <definedName name="FIRE_ALARM">'[1]Item Budgets'!$B$112:$B$123</definedName>
    <definedName name="Heating_Interface">'[1]Item Budgets'!$B$178:$B$189</definedName>
    <definedName name="Lighting">'[1]Item Budgets'!$B$4:$B$23</definedName>
    <definedName name="LIGHTING_CONTROL">'[1]Item Budgets'!$B$34:$B$45</definedName>
    <definedName name="LIST">[1]Containment!#REF!</definedName>
    <definedName name="List1">#REF!</definedName>
    <definedName name="List2">#REF!</definedName>
    <definedName name="List3">#REF!</definedName>
    <definedName name="Mechanical_Supplies">'[1]Item Budgets'!$B$134:$B$145</definedName>
    <definedName name="MISCELLANEOUS">'[1]Item Budgets'!$B$189:$B$207</definedName>
    <definedName name="PCFTon">#REF!</definedName>
    <definedName name="PFC">#REF!</definedName>
    <definedName name="PFCs">#REF!</definedName>
    <definedName name="PFCTon">#REF!</definedName>
    <definedName name="PRELIMS">'[1]Item Budgets'!$B$207:$B$216</definedName>
    <definedName name="RHS">#REF!</definedName>
    <definedName name="RHSs">#REF!</definedName>
    <definedName name="RHSTon">#REF!</definedName>
    <definedName name="RSJ">#REF!</definedName>
    <definedName name="RSJs">#REF!</definedName>
    <definedName name="RSJTon">#REF!</definedName>
    <definedName name="SHS">#REF!</definedName>
    <definedName name="SHSs">#REF!</definedName>
    <definedName name="SHSsTon">#REF!</definedName>
    <definedName name="SHSTon">#REF!</definedName>
    <definedName name="Site_Temporaries">'[1]Item Budgets'!$B$217:$B$228</definedName>
    <definedName name="SMALL_POWER">'[1]Item Budgets'!$B$45:$B$95</definedName>
    <definedName name="Steels">#REF!</definedName>
    <definedName name="Type">#REF!,#REF!,#REF!,#REF!,#REF!,#REF!,#REF!,#REF!,#REF!</definedName>
    <definedName name="Types">'[2]Type List'!$A$2:$A$8</definedName>
    <definedName name="Unequal">#REF!</definedName>
    <definedName name="UnequalTon">#REF!</definedName>
    <definedName name="Ventilation">'[1]Item Budgets'!$B$145:$B$156</definedName>
    <definedName name="_xlnm.Print_Titles" localSheetId="0">'Pricing Document '!$2:$7</definedName>
    <definedName name="_xlnm.Print_Area" localSheetId="0">'Pricing Document '!$C$1:$I$31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&quot;£&quot;#,##0.00;[Red]\-&quot;£&quot;#,##0.00"/>
    <numFmt numFmtId="166" formatCode="_-&quot;£&quot;* #,##0.00_-;\-&quot;£&quot;* #,##0.00_-;_-&quot;£&quot;* &quot;-&quot;??_-;_-@_-"/>
    <numFmt numFmtId="167" formatCode="General_)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ill Sans"/>
      <family val="2"/>
      <sz val="10"/>
    </font>
    <font>
      <name val="Courier"/>
      <family val="3"/>
      <sz val="10"/>
    </font>
    <font>
      <name val="Arial"/>
      <family val="2"/>
      <sz val="10"/>
    </font>
    <font>
      <name val="Times New Roman"/>
      <family val="1"/>
      <color rgb="FF000000"/>
      <sz val="10"/>
    </font>
    <font>
      <name val="Times New Roman"/>
      <family val="1"/>
      <color theme="10"/>
      <sz val="10"/>
      <u val="single"/>
    </font>
    <font>
      <name val="Aptos"/>
      <family val="2"/>
      <sz val="10"/>
    </font>
    <font>
      <name val="Aptos"/>
      <family val="2"/>
      <sz val="14"/>
    </font>
    <font>
      <name val="Aptos"/>
      <family val="2"/>
      <b val="1"/>
      <color theme="0"/>
      <sz val="12"/>
    </font>
    <font>
      <name val="Aptos"/>
      <family val="2"/>
      <b val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8"/>
    </font>
    <font>
      <name val="Aptos"/>
      <family val="2"/>
      <b val="1"/>
      <i val="1"/>
      <color theme="1"/>
      <sz val="11"/>
    </font>
    <font>
      <name val="Aptos"/>
      <family val="2"/>
      <i val="1"/>
      <color theme="1"/>
      <sz val="11"/>
    </font>
    <font>
      <name val="Aptos"/>
      <family val="2"/>
      <b val="1"/>
      <sz val="11"/>
    </font>
    <font>
      <name val="Aptos"/>
      <family val="2"/>
      <b val="1"/>
      <sz val="12"/>
    </font>
    <font>
      <name val="Gill Sans"/>
      <b val="1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D3A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">
    <xf numFmtId="0" fontId="1" fillId="0" borderId="0"/>
    <xf numFmtId="43" fontId="1" fillId="0" borderId="0"/>
    <xf numFmtId="167" fontId="3" fillId="0" borderId="0"/>
    <xf numFmtId="0" fontId="5" fillId="0" borderId="0"/>
    <xf numFmtId="44" fontId="5" fillId="0" borderId="0"/>
    <xf numFmtId="0" fontId="6" fillId="0" borderId="0"/>
    <xf numFmtId="0" fontId="4" fillId="0" borderId="0"/>
    <xf numFmtId="44" fontId="1" fillId="0" borderId="0"/>
    <xf numFmtId="43" fontId="1" fillId="0" borderId="0"/>
    <xf numFmtId="44" fontId="1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3" borderId="9" applyAlignment="1" pivotButton="0" quotePrefix="0" xfId="0">
      <alignment vertical="center"/>
    </xf>
    <xf numFmtId="2" fontId="9" fillId="3" borderId="16" applyAlignment="1" pivotButton="0" quotePrefix="0" xfId="0">
      <alignment vertical="center"/>
    </xf>
    <xf numFmtId="2" fontId="9" fillId="3" borderId="8" applyAlignment="1" pivotButton="0" quotePrefix="0" xfId="0">
      <alignment vertical="center"/>
    </xf>
    <xf numFmtId="0" fontId="9" fillId="3" borderId="3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3" borderId="4" applyAlignment="1" pivotButton="0" quotePrefix="0" xfId="0">
      <alignment vertical="center"/>
    </xf>
    <xf numFmtId="14" fontId="9" fillId="3" borderId="0" applyAlignment="1" pivotButton="0" quotePrefix="0" xfId="0">
      <alignment horizontal="left" vertical="center"/>
    </xf>
    <xf numFmtId="0" fontId="10" fillId="0" borderId="13" applyAlignment="1" pivotButton="0" quotePrefix="0" xfId="0">
      <alignment horizontal="left" wrapText="1" indent="2"/>
    </xf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165" fontId="7" fillId="0" borderId="11" applyAlignment="1" pivotButton="0" quotePrefix="0" xfId="0">
      <alignment horizontal="center" vertical="center"/>
    </xf>
    <xf numFmtId="164" fontId="7" fillId="0" borderId="13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9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2" fillId="2" borderId="18" applyAlignment="1" pivotButton="0" quotePrefix="0" xfId="0">
      <alignment horizontal="left" vertical="center"/>
    </xf>
    <xf numFmtId="0" fontId="12" fillId="2" borderId="19" applyAlignment="1" pivotButton="0" quotePrefix="0" xfId="0">
      <alignment horizontal="left" vertical="center"/>
    </xf>
    <xf numFmtId="0" fontId="12" fillId="2" borderId="19" applyAlignment="1" pivotButton="0" quotePrefix="0" xfId="0">
      <alignment vertical="top"/>
    </xf>
    <xf numFmtId="0" fontId="12" fillId="2" borderId="20" applyAlignment="1" pivotButton="0" quotePrefix="0" xfId="0">
      <alignment vertical="top"/>
    </xf>
    <xf numFmtId="0" fontId="10" fillId="2" borderId="0" applyAlignment="1" pivotButton="0" quotePrefix="0" xfId="0">
      <alignment horizontal="left" wrapText="1"/>
    </xf>
    <xf numFmtId="166" fontId="10" fillId="2" borderId="4" applyAlignment="1" pivotButton="0" quotePrefix="0" xfId="9">
      <alignment horizontal="right"/>
    </xf>
    <xf numFmtId="0" fontId="10" fillId="2" borderId="6" applyAlignment="1" pivotButton="0" quotePrefix="0" xfId="0">
      <alignment horizontal="left" wrapText="1"/>
    </xf>
    <xf numFmtId="164" fontId="10" fillId="2" borderId="7" applyAlignment="1" pivotButton="0" quotePrefix="0" xfId="1">
      <alignment horizontal="right"/>
    </xf>
    <xf numFmtId="167" fontId="10" fillId="2" borderId="17" applyAlignment="1" pivotButton="0" quotePrefix="0" xfId="2">
      <alignment horizontal="center" vertical="center"/>
    </xf>
    <xf numFmtId="4" fontId="10" fillId="2" borderId="14" applyAlignment="1" pivotButton="0" quotePrefix="0" xfId="2">
      <alignment horizontal="center" vertical="center"/>
    </xf>
    <xf numFmtId="0" fontId="10" fillId="2" borderId="10" pivotButton="0" quotePrefix="0" xfId="0"/>
    <xf numFmtId="0" fontId="10" fillId="2" borderId="1" applyAlignment="1" pivotButton="0" quotePrefix="0" xfId="0">
      <alignment horizontal="left" wrapText="1"/>
    </xf>
    <xf numFmtId="164" fontId="10" fillId="2" borderId="1" pivotButton="0" quotePrefix="0" xfId="1"/>
    <xf numFmtId="164" fontId="10" fillId="2" borderId="2" applyAlignment="1" pivotButton="0" quotePrefix="0" xfId="1">
      <alignment horizontal="right"/>
    </xf>
    <xf numFmtId="0" fontId="10" fillId="2" borderId="3" pivotButton="0" quotePrefix="0" xfId="0"/>
    <xf numFmtId="0" fontId="15" fillId="2" borderId="0" applyAlignment="1" pivotButton="0" quotePrefix="0" xfId="0">
      <alignment horizontal="center"/>
    </xf>
    <xf numFmtId="0" fontId="10" fillId="2" borderId="0" pivotButton="0" quotePrefix="0" xfId="0"/>
    <xf numFmtId="164" fontId="10" fillId="2" borderId="0" pivotButton="0" quotePrefix="0" xfId="1"/>
    <xf numFmtId="166" fontId="10" fillId="2" borderId="4" pivotButton="0" quotePrefix="0" xfId="9"/>
    <xf numFmtId="0" fontId="10" fillId="2" borderId="5" pivotButton="0" quotePrefix="0" xfId="0"/>
    <xf numFmtId="0" fontId="10" fillId="2" borderId="6" pivotButton="0" quotePrefix="0" xfId="0"/>
    <xf numFmtId="0" fontId="10" fillId="2" borderId="7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6" fontId="10" fillId="2" borderId="2" pivotButton="0" quotePrefix="0" xfId="9"/>
    <xf numFmtId="164" fontId="10" fillId="2" borderId="3" pivotButton="0" quotePrefix="0" xfId="1"/>
    <xf numFmtId="166" fontId="10" fillId="2" borderId="4" pivotButton="0" quotePrefix="0" xfId="9"/>
    <xf numFmtId="164" fontId="10" fillId="2" borderId="6" pivotButton="0" quotePrefix="0" xfId="1"/>
    <xf numFmtId="0" fontId="0" fillId="0" borderId="12" applyAlignment="1" pivotButton="0" quotePrefix="0" xfId="0">
      <alignment horizontal="center"/>
    </xf>
    <xf numFmtId="166" fontId="2" fillId="0" borderId="0" pivotButton="0" quotePrefix="0" xfId="9"/>
    <xf numFmtId="166" fontId="11" fillId="0" borderId="0" pivotButton="0" quotePrefix="0" xfId="9"/>
    <xf numFmtId="2" fontId="11" fillId="0" borderId="0" pivotButton="0" quotePrefix="0" xfId="0"/>
    <xf numFmtId="164" fontId="2" fillId="0" borderId="11" applyAlignment="1" pivotButton="0" quotePrefix="0" xfId="1">
      <alignment horizontal="center" vertical="center"/>
    </xf>
    <xf numFmtId="164" fontId="2" fillId="0" borderId="11" applyAlignment="1" pivotButton="0" quotePrefix="0" xfId="1">
      <alignment horizontal="right" vertical="center"/>
    </xf>
    <xf numFmtId="164" fontId="10" fillId="2" borderId="0" applyAlignment="1" pivotButton="0" quotePrefix="0" xfId="1">
      <alignment horizontal="center"/>
    </xf>
    <xf numFmtId="0" fontId="16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wrapText="1"/>
    </xf>
    <xf numFmtId="0" fontId="0" fillId="0" borderId="12" applyAlignment="1" pivotButton="0" quotePrefix="0" xfId="0">
      <alignment horizontal="center" vertical="center"/>
    </xf>
    <xf numFmtId="0" fontId="7" fillId="0" borderId="23" applyAlignment="1" pivotButton="0" quotePrefix="1" xfId="0">
      <alignment horizontal="center" vertical="center" wrapText="1"/>
    </xf>
    <xf numFmtId="0" fontId="7" fillId="0" borderId="24" applyAlignment="1" pivotButton="0" quotePrefix="1" xfId="0">
      <alignment horizontal="center" vertical="center" wrapText="1"/>
    </xf>
    <xf numFmtId="167" fontId="10" fillId="2" borderId="25" applyAlignment="1" pivotButton="0" quotePrefix="0" xfId="2">
      <alignment horizontal="center" vertical="center"/>
    </xf>
    <xf numFmtId="167" fontId="10" fillId="2" borderId="26" applyAlignment="1" pivotButton="0" quotePrefix="0" xfId="2">
      <alignment horizontal="center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7" fillId="0" borderId="23" applyAlignment="1" pivotButton="0" quotePrefix="1" xfId="0">
      <alignment horizontal="center" vertical="center"/>
    </xf>
    <xf numFmtId="0" fontId="7" fillId="0" borderId="24" applyAlignment="1" pivotButton="0" quotePrefix="1" xfId="0">
      <alignment horizontal="center" vertical="center"/>
    </xf>
    <xf numFmtId="0" fontId="10" fillId="0" borderId="23" applyAlignment="1" pivotButton="0" quotePrefix="1" xfId="0">
      <alignment horizontal="center" vertical="center" wrapText="1"/>
    </xf>
    <xf numFmtId="0" fontId="10" fillId="0" borderId="24" applyAlignment="1" pivotButton="0" quotePrefix="1" xfId="0">
      <alignment horizontal="center" vertical="center" wrapText="1"/>
    </xf>
    <xf numFmtId="164" fontId="10" fillId="2" borderId="0" applyAlignment="1" pivotButton="0" quotePrefix="0" xfId="1">
      <alignment horizontal="right"/>
    </xf>
    <xf numFmtId="164" fontId="10" fillId="2" borderId="1" applyAlignment="1" pivotButton="0" quotePrefix="0" xfId="1">
      <alignment horizontal="center"/>
    </xf>
    <xf numFmtId="0" fontId="7" fillId="0" borderId="27" applyAlignment="1" pivotButton="0" quotePrefix="1" xfId="0">
      <alignment horizontal="center" vertical="center" wrapText="1"/>
    </xf>
    <xf numFmtId="0" fontId="7" fillId="0" borderId="28" applyAlignment="1" pivotButton="0" quotePrefix="1" xfId="0">
      <alignment horizontal="center" vertical="center" wrapText="1"/>
    </xf>
    <xf numFmtId="0" fontId="18" fillId="0" borderId="24" applyAlignment="1" pivotButton="0" quotePrefix="1" xfId="0">
      <alignment horizontal="center" vertical="center"/>
    </xf>
    <xf numFmtId="0" fontId="18" fillId="0" borderId="23" applyAlignment="1" pivotButton="0" quotePrefix="1" xfId="0">
      <alignment horizontal="center" vertical="center"/>
    </xf>
    <xf numFmtId="166" fontId="11" fillId="0" borderId="0" pivotButton="0" quotePrefix="0" xfId="9"/>
    <xf numFmtId="167" fontId="10" fillId="2" borderId="33" applyAlignment="1" pivotButton="0" quotePrefix="0" xfId="2">
      <alignment horizontal="center" vertical="center"/>
    </xf>
    <xf numFmtId="0" fontId="0" fillId="0" borderId="26" pivotButton="0" quotePrefix="0" xfId="0"/>
    <xf numFmtId="167" fontId="10" fillId="2" borderId="17" applyAlignment="1" pivotButton="0" quotePrefix="0" xfId="2">
      <alignment horizontal="center" vertical="center"/>
    </xf>
    <xf numFmtId="0" fontId="10" fillId="0" borderId="35" applyAlignment="1" pivotButton="0" quotePrefix="0" xfId="0">
      <alignment horizontal="center" vertical="center" wrapText="1"/>
    </xf>
    <xf numFmtId="0" fontId="0" fillId="0" borderId="22" pivotButton="0" quotePrefix="0" xfId="0"/>
    <xf numFmtId="164" fontId="7" fillId="0" borderId="13" applyAlignment="1" pivotButton="0" quotePrefix="0" xfId="1">
      <alignment horizontal="left" vertical="center" wrapText="1" indent="1"/>
    </xf>
    <xf numFmtId="164" fontId="7" fillId="0" borderId="13" applyAlignment="1" pivotButton="0" quotePrefix="0" xfId="1">
      <alignment horizontal="left" wrapText="1"/>
    </xf>
    <xf numFmtId="164" fontId="7" fillId="0" borderId="15" applyAlignment="1" pivotButton="0" quotePrefix="0" xfId="1">
      <alignment horizontal="right" vertical="center"/>
    </xf>
    <xf numFmtId="0" fontId="18" fillId="0" borderId="32" applyAlignment="1" pivotButton="0" quotePrefix="1" xfId="0">
      <alignment horizontal="center" vertical="center"/>
    </xf>
    <xf numFmtId="0" fontId="0" fillId="0" borderId="24" pivotButton="0" quotePrefix="0" xfId="0"/>
    <xf numFmtId="164" fontId="2" fillId="0" borderId="11" applyAlignment="1" pivotButton="0" quotePrefix="0" xfId="1">
      <alignment horizontal="center" vertical="center"/>
    </xf>
    <xf numFmtId="165" fontId="7" fillId="0" borderId="11" applyAlignment="1" pivotButton="0" quotePrefix="0" xfId="0">
      <alignment horizontal="center" vertical="center"/>
    </xf>
    <xf numFmtId="166" fontId="2" fillId="0" borderId="0" pivotButton="0" quotePrefix="0" xfId="9"/>
    <xf numFmtId="0" fontId="7" fillId="0" borderId="32" applyAlignment="1" pivotButton="0" quotePrefix="1" xfId="0">
      <alignment horizontal="center" vertical="center"/>
    </xf>
    <xf numFmtId="0" fontId="7" fillId="0" borderId="32" applyAlignment="1" pivotButton="0" quotePrefix="1" xfId="0">
      <alignment horizontal="center" vertical="center" wrapText="1"/>
    </xf>
    <xf numFmtId="164" fontId="2" fillId="0" borderId="11" applyAlignment="1" pivotButton="0" quotePrefix="0" xfId="1">
      <alignment horizontal="right" vertical="center"/>
    </xf>
    <xf numFmtId="0" fontId="10" fillId="0" borderId="32" applyAlignment="1" pivotButton="0" quotePrefix="1" xfId="0">
      <alignment horizontal="center" vertical="center" wrapText="1"/>
    </xf>
    <xf numFmtId="0" fontId="7" fillId="0" borderId="29" applyAlignment="1" pivotButton="0" quotePrefix="1" xfId="0">
      <alignment horizontal="center" vertical="center" wrapText="1"/>
    </xf>
    <xf numFmtId="0" fontId="0" fillId="0" borderId="28" pivotButton="0" quotePrefix="0" xfId="0"/>
    <xf numFmtId="164" fontId="10" fillId="2" borderId="10" pivotButton="0" quotePrefix="0" xfId="1"/>
    <xf numFmtId="164" fontId="10" fillId="2" borderId="1" applyAlignment="1" pivotButton="0" quotePrefix="0" xfId="1">
      <alignment horizontal="center"/>
    </xf>
    <xf numFmtId="164" fontId="10" fillId="2" borderId="1" pivotButton="0" quotePrefix="0" xfId="1"/>
    <xf numFmtId="0" fontId="0" fillId="0" borderId="1" pivotButton="0" quotePrefix="0" xfId="0"/>
    <xf numFmtId="166" fontId="10" fillId="2" borderId="2" pivotButton="0" quotePrefix="0" xfId="9"/>
    <xf numFmtId="164" fontId="10" fillId="2" borderId="3" pivotButton="0" quotePrefix="0" xfId="1"/>
    <xf numFmtId="164" fontId="10" fillId="2" borderId="0" applyAlignment="1" pivotButton="0" quotePrefix="0" xfId="1">
      <alignment horizontal="center"/>
    </xf>
    <xf numFmtId="164" fontId="10" fillId="2" borderId="0" pivotButton="0" quotePrefix="0" xfId="1"/>
    <xf numFmtId="166" fontId="10" fillId="2" borderId="4" pivotButton="0" quotePrefix="0" xfId="9"/>
    <xf numFmtId="166" fontId="10" fillId="2" borderId="4" applyAlignment="1" pivotButton="0" quotePrefix="0" xfId="9">
      <alignment horizontal="right"/>
    </xf>
    <xf numFmtId="164" fontId="10" fillId="2" borderId="6" pivotButton="0" quotePrefix="0" xfId="1"/>
    <xf numFmtId="164" fontId="10" fillId="2" borderId="7" applyAlignment="1" pivotButton="0" quotePrefix="0" xfId="1">
      <alignment horizontal="right"/>
    </xf>
    <xf numFmtId="164" fontId="10" fillId="2" borderId="2" applyAlignment="1" pivotButton="0" quotePrefix="0" xfId="1">
      <alignment horizontal="right"/>
    </xf>
    <xf numFmtId="164" fontId="10" fillId="2" borderId="0" applyAlignment="1" pivotButton="0" quotePrefix="0" xfId="1">
      <alignment horizontal="right"/>
    </xf>
  </cellXfs>
  <cellStyles count="10">
    <cellStyle name="Normal" xfId="0" builtinId="0"/>
    <cellStyle name="Comma" xfId="1" builtinId="3"/>
    <cellStyle name="Normal_Hand dug" xfId="2"/>
    <cellStyle name="Normal 5" xfId="3"/>
    <cellStyle name="Currency 2" xfId="4"/>
    <cellStyle name="Hyperlink 2" xfId="5"/>
    <cellStyle name="Normal 2" xfId="6"/>
    <cellStyle name="Currency 3" xfId="7"/>
    <cellStyle name="Comma 2" xfId="8"/>
    <cellStyle name="Currency" xfId="9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</col>
      <colOff>286459</colOff>
      <row>1</row>
      <rowOff>168861</rowOff>
    </from>
    <to>
      <col>4</col>
      <colOff>155090</colOff>
      <row>1</row>
      <rowOff>1222993</rowOff>
    </to>
    <pic>
      <nvPicPr>
        <cNvPr id="2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1849" y="363171"/>
          <a:ext cx="2653740" cy="10503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iamO'Donnell\AppData\Local\Microsoft\Windows\INetCache\Content.Outlook\GM4B1OQ8\Electrical%20Template%20-%20Draft%20-%20REV010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Parke\AppData\Local\Microsoft\Windows\INetCache\Content.Outlook\MIF0VXSH\The%20Datum%20Group%20Electrical%20-%20TEMPLATE%20-%20Detailed%20breakdown%20Rev%205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Summary"/>
      <sheetName val="Price Breakdown"/>
      <sheetName val="Item Budgets"/>
      <sheetName val="Containment"/>
      <sheetName val="Project Type"/>
      <sheetName val="Procore Measure"/>
      <sheetName val="Item Categories"/>
    </sheetNames>
    <sheetDataSet>
      <sheetData sheetId="0"/>
      <sheetData sheetId="1"/>
      <sheetData sheetId="2"/>
      <sheetData sheetId="3">
        <row r="4">
          <cell r="B4" t="str">
            <v>LIGHTING</v>
          </cell>
        </row>
        <row r="5">
          <cell r="B5" t="str">
            <v>Ceiling Mounted Luminaire</v>
          </cell>
        </row>
        <row r="6">
          <cell r="B6" t="str">
            <v>Double Sided Illuminated Emergency Exit Sign</v>
          </cell>
        </row>
        <row r="7">
          <cell r="B7" t="str">
            <v>Floor Mounted Luminaire - X12</v>
          </cell>
        </row>
        <row r="8">
          <cell r="B8" t="str">
            <v>Illuminated Emergency Exit Sign</v>
          </cell>
        </row>
        <row r="9">
          <cell r="B9" t="str">
            <v>Illuminated Emergency Exit Sign With Direction Arrow</v>
          </cell>
        </row>
        <row r="10">
          <cell r="B10" t="str">
            <v>Led Emergency Downlight</v>
          </cell>
        </row>
        <row r="11">
          <cell r="B11" t="str">
            <v>Led Strip Light</v>
          </cell>
        </row>
        <row r="12">
          <cell r="B12" t="str">
            <v>Lighting Wiring Point</v>
          </cell>
        </row>
        <row r="13">
          <cell r="B13" t="str">
            <v>Linear Luminaire</v>
          </cell>
        </row>
        <row r="14">
          <cell r="B14" t="str">
            <v>Photocell</v>
          </cell>
        </row>
        <row r="15">
          <cell r="B15" t="str">
            <v>PV Inverted, Relay &amp; DC/AC Isolator + Single Socket Outlet And RJ45 For Data For PV Panels</v>
          </cell>
        </row>
        <row r="16">
          <cell r="B16" t="str">
            <v>Recessed Modular Downlighter</v>
          </cell>
        </row>
        <row r="17">
          <cell r="B17" t="str">
            <v xml:space="preserve">Recessed Modular Uplighter </v>
          </cell>
        </row>
        <row r="18">
          <cell r="B18" t="str">
            <v>Wall Mounted Luminaire</v>
          </cell>
        </row>
        <row r="19">
          <cell r="B19" t="str">
            <v>Wall Mounted Luminaire - Emergency</v>
          </cell>
        </row>
        <row r="23">
          <cell r="B23" t="str">
            <v>EMERGENCY LIGHTING</v>
          </cell>
        </row>
        <row r="24">
          <cell r="B24" t="str">
            <v>EL Item 1</v>
          </cell>
        </row>
        <row r="25">
          <cell r="B25" t="str">
            <v>EL Item 2</v>
          </cell>
        </row>
        <row r="26">
          <cell r="B26" t="str">
            <v>EL Item 3</v>
          </cell>
        </row>
        <row r="27">
          <cell r="B27" t="str">
            <v>EL Item 4</v>
          </cell>
        </row>
        <row r="28">
          <cell r="B28" t="str">
            <v>EL Item 5</v>
          </cell>
        </row>
        <row r="29">
          <cell r="B29" t="str">
            <v>EL Item 6</v>
          </cell>
        </row>
        <row r="30">
          <cell r="B30" t="str">
            <v>EL Item 7</v>
          </cell>
        </row>
        <row r="31">
          <cell r="B31" t="str">
            <v>EL Item 8</v>
          </cell>
        </row>
        <row r="34">
          <cell r="B34" t="str">
            <v>LIGHTING CONTROL</v>
          </cell>
        </row>
        <row r="35">
          <cell r="B35" t="str">
            <v>LC Item 1</v>
          </cell>
        </row>
        <row r="36">
          <cell r="B36" t="str">
            <v>LC Item 2</v>
          </cell>
        </row>
        <row r="37">
          <cell r="B37" t="str">
            <v>LC Item 3</v>
          </cell>
        </row>
        <row r="38">
          <cell r="B38" t="str">
            <v>LC Item 4</v>
          </cell>
        </row>
        <row r="39">
          <cell r="B39" t="str">
            <v>LC Item 5</v>
          </cell>
        </row>
        <row r="40">
          <cell r="B40" t="str">
            <v>LC Item 6</v>
          </cell>
        </row>
        <row r="41">
          <cell r="B41" t="str">
            <v>LC Item 7</v>
          </cell>
        </row>
        <row r="42">
          <cell r="B42" t="str">
            <v>LC Item 8</v>
          </cell>
        </row>
        <row r="45">
          <cell r="B45" t="str">
            <v>SMALL POWER</v>
          </cell>
        </row>
        <row r="46">
          <cell r="B46" t="str">
            <v>1 Gang Switch</v>
          </cell>
        </row>
        <row r="47">
          <cell r="B47" t="str">
            <v>1 Gang Dimmer Switch</v>
          </cell>
        </row>
        <row r="48">
          <cell r="B48" t="str">
            <v>2 Gang Switch</v>
          </cell>
        </row>
        <row r="49">
          <cell r="B49" t="str">
            <v>20A Oven Control Unit</v>
          </cell>
        </row>
        <row r="50">
          <cell r="B50" t="str">
            <v>40A Cooker Control Unit</v>
          </cell>
        </row>
        <row r="51">
          <cell r="B51" t="str">
            <v>Automatic Transfer Switch</v>
          </cell>
        </row>
        <row r="52">
          <cell r="B52" t="str">
            <v>Booster Switch</v>
          </cell>
        </row>
        <row r="53">
          <cell r="B53" t="str">
            <v>Cooker Connection Point</v>
          </cell>
        </row>
        <row r="54">
          <cell r="B54" t="str">
            <v>Data Outlet</v>
          </cell>
        </row>
        <row r="55">
          <cell r="B55" t="str">
            <v>Door Bell</v>
          </cell>
        </row>
        <row r="56">
          <cell r="B56" t="str">
            <v>Doorbell Push</v>
          </cell>
        </row>
        <row r="57">
          <cell r="B57" t="str">
            <v>Double Pole Switch</v>
          </cell>
        </row>
        <row r="58">
          <cell r="B58" t="str">
            <v>Heat Alarm</v>
          </cell>
        </row>
        <row r="59">
          <cell r="B59" t="str">
            <v>Heat Detector</v>
          </cell>
        </row>
        <row r="60">
          <cell r="B60" t="str">
            <v>Intermediate Switch</v>
          </cell>
        </row>
        <row r="61">
          <cell r="B61" t="str">
            <v>Ip65 Switch With Neon</v>
          </cell>
        </row>
        <row r="62">
          <cell r="B62" t="str">
            <v>Junction Box</v>
          </cell>
        </row>
        <row r="63">
          <cell r="B63" t="str">
            <v>Multi Sensor Smoke/Heat Detector</v>
          </cell>
        </row>
        <row r="64">
          <cell r="B64" t="str">
            <v>Override Switches For External Lighting</v>
          </cell>
        </row>
        <row r="65">
          <cell r="B65" t="str">
            <v>Power Supply To The X11 Led Lights</v>
          </cell>
        </row>
        <row r="66">
          <cell r="B66" t="str">
            <v>Patch Panel</v>
          </cell>
        </row>
        <row r="67">
          <cell r="B67" t="str">
            <v>Presence Detector</v>
          </cell>
        </row>
        <row r="68">
          <cell r="B68" t="str">
            <v>Shaver Socket</v>
          </cell>
        </row>
        <row r="69">
          <cell r="B69" t="str">
            <v>Single Switch Socket Outlet</v>
          </cell>
        </row>
        <row r="70">
          <cell r="B70" t="str">
            <v>Smoke Alarm</v>
          </cell>
        </row>
        <row r="71">
          <cell r="B71" t="str">
            <v>Smoke Detector</v>
          </cell>
        </row>
        <row r="72">
          <cell r="B72" t="str">
            <v>Smoke/Heat/Co Alarm Remote Control Switch</v>
          </cell>
        </row>
        <row r="73">
          <cell r="B73" t="str">
            <v>Switch Fused Connection Unit - EF</v>
          </cell>
        </row>
        <row r="74">
          <cell r="B74" t="str">
            <v>Switch Fused Connection Unit - Heat Interface Unit</v>
          </cell>
        </row>
        <row r="75">
          <cell r="B75" t="str">
            <v>Switch Fused Connection Unit - IA</v>
          </cell>
        </row>
        <row r="76">
          <cell r="B76" t="str">
            <v>Switch Fused Connection Unit - Washing Machine</v>
          </cell>
        </row>
        <row r="77">
          <cell r="B77" t="str">
            <v>Switch Fused Connection Unit - Dish Washer</v>
          </cell>
        </row>
        <row r="78">
          <cell r="B78" t="str">
            <v>Switch Fused Connection Unit - Fridge Freezer</v>
          </cell>
        </row>
        <row r="79">
          <cell r="B79" t="str">
            <v>Switch Fused Connection Unit- HRV</v>
          </cell>
        </row>
        <row r="80">
          <cell r="B80" t="str">
            <v>Switched Fused Connection Unit</v>
          </cell>
        </row>
        <row r="81">
          <cell r="B81" t="str">
            <v>Switched Fused Connection Unit - ETR</v>
          </cell>
        </row>
        <row r="82">
          <cell r="B82" t="str">
            <v>Telephone Outlet</v>
          </cell>
        </row>
        <row r="83">
          <cell r="B83" t="str">
            <v>TP&amp;N Distribution Board</v>
          </cell>
        </row>
        <row r="84">
          <cell r="B84" t="str">
            <v>TP&amp;N Isolator</v>
          </cell>
        </row>
        <row r="85">
          <cell r="B85" t="str">
            <v>TP&amp;N Isolator - 20A</v>
          </cell>
        </row>
        <row r="86">
          <cell r="B86" t="str">
            <v>TP&amp;N Isolator - 300A</v>
          </cell>
        </row>
        <row r="87">
          <cell r="B87" t="str">
            <v>TP&amp;N Isolator - 32A</v>
          </cell>
        </row>
        <row r="88">
          <cell r="B88" t="str">
            <v>TP&amp;N Isolator - 63A</v>
          </cell>
        </row>
        <row r="89">
          <cell r="B89" t="str">
            <v>TV Socket</v>
          </cell>
        </row>
        <row r="90">
          <cell r="B90" t="str">
            <v>Twin RJ45 Data Outlet</v>
          </cell>
        </row>
        <row r="91">
          <cell r="B91" t="str">
            <v>Twin Switched Socket Outlet</v>
          </cell>
        </row>
        <row r="92">
          <cell r="B92" t="str">
            <v>Unswitched Fused Connection Unit</v>
          </cell>
        </row>
        <row r="95">
          <cell r="B95" t="str">
            <v>CONTAINMENT</v>
          </cell>
        </row>
        <row r="96">
          <cell r="B96" t="str">
            <v>100mm x 25mm tray</v>
          </cell>
        </row>
        <row r="97">
          <cell r="B97" t="str">
            <v>100mm x 50mm tray</v>
          </cell>
        </row>
        <row r="98">
          <cell r="B98" t="str">
            <v>150mm x 150mm Trunking</v>
          </cell>
        </row>
        <row r="99">
          <cell r="B99" t="str">
            <v>150mm x 25mm tray</v>
          </cell>
        </row>
        <row r="100">
          <cell r="B100" t="str">
            <v>225mm x 25mm tray</v>
          </cell>
        </row>
        <row r="101">
          <cell r="B101" t="str">
            <v>300mm x 25mm tray</v>
          </cell>
        </row>
        <row r="102">
          <cell r="B102" t="str">
            <v>450mm x 25mm tray</v>
          </cell>
        </row>
        <row r="103">
          <cell r="B103" t="str">
            <v>50mm x 25mm tray</v>
          </cell>
        </row>
        <row r="104">
          <cell r="B104" t="str">
            <v>50mm x 25mm tray</v>
          </cell>
        </row>
        <row r="105">
          <cell r="B105" t="str">
            <v>75mm x 25mm tray</v>
          </cell>
        </row>
        <row r="106">
          <cell r="B106" t="str">
            <v>C Item 11</v>
          </cell>
        </row>
        <row r="107">
          <cell r="B107" t="str">
            <v>C Item 12</v>
          </cell>
        </row>
        <row r="108">
          <cell r="B108" t="str">
            <v>C Item 13</v>
          </cell>
        </row>
        <row r="109">
          <cell r="B109" t="str">
            <v>C Item 14</v>
          </cell>
        </row>
        <row r="112">
          <cell r="B112" t="str">
            <v>FIRE ALARM</v>
          </cell>
        </row>
        <row r="113">
          <cell r="B113" t="str">
            <v>Fire Alarm Interface Unit</v>
          </cell>
        </row>
        <row r="114">
          <cell r="B114" t="str">
            <v>Fire Alarm Sounder</v>
          </cell>
        </row>
        <row r="115">
          <cell r="B115" t="str">
            <v>Smoke detectors</v>
          </cell>
        </row>
        <row r="116">
          <cell r="B116" t="str">
            <v>Heat detectors</v>
          </cell>
        </row>
        <row r="117">
          <cell r="B117" t="str">
            <v>CO2 detectors</v>
          </cell>
        </row>
        <row r="118">
          <cell r="B118" t="str">
            <v>FA Item 4</v>
          </cell>
        </row>
        <row r="119">
          <cell r="B119" t="str">
            <v>FA Item 5</v>
          </cell>
        </row>
        <row r="120">
          <cell r="B120" t="str">
            <v>FA Item 6</v>
          </cell>
        </row>
        <row r="123">
          <cell r="B123" t="str">
            <v>DISTRIBUTION</v>
          </cell>
        </row>
        <row r="124">
          <cell r="B124" t="str">
            <v>D Item 1</v>
          </cell>
        </row>
        <row r="125">
          <cell r="B125" t="str">
            <v>D Item 2</v>
          </cell>
        </row>
        <row r="126">
          <cell r="B126" t="str">
            <v>D Item 3</v>
          </cell>
        </row>
        <row r="127">
          <cell r="B127" t="str">
            <v>D Item 4</v>
          </cell>
        </row>
        <row r="128">
          <cell r="B128" t="str">
            <v>D Item 5</v>
          </cell>
        </row>
        <row r="129">
          <cell r="B129" t="str">
            <v>D Item 6</v>
          </cell>
        </row>
        <row r="130">
          <cell r="B130" t="str">
            <v>D Item 7</v>
          </cell>
        </row>
        <row r="131">
          <cell r="B131" t="str">
            <v>D Item 8</v>
          </cell>
        </row>
        <row r="134">
          <cell r="B134" t="str">
            <v>MECHANICAL SUPPLIES</v>
          </cell>
        </row>
        <row r="135">
          <cell r="B135" t="str">
            <v>MS Item 1</v>
          </cell>
        </row>
        <row r="136">
          <cell r="B136" t="str">
            <v>MS Item 2</v>
          </cell>
        </row>
        <row r="137">
          <cell r="B137" t="str">
            <v>MS Item 3</v>
          </cell>
        </row>
        <row r="138">
          <cell r="B138" t="str">
            <v>MS Item 4</v>
          </cell>
        </row>
        <row r="139">
          <cell r="B139" t="str">
            <v>MS Item 5</v>
          </cell>
        </row>
        <row r="140">
          <cell r="B140" t="str">
            <v>MS Item 6</v>
          </cell>
        </row>
        <row r="141">
          <cell r="B141" t="str">
            <v>MS Item 7</v>
          </cell>
        </row>
        <row r="142">
          <cell r="B142" t="str">
            <v>MS Item 8</v>
          </cell>
        </row>
        <row r="145">
          <cell r="B145" t="str">
            <v>VENTILATION</v>
          </cell>
        </row>
        <row r="146">
          <cell r="B146" t="str">
            <v>V Item 1</v>
          </cell>
        </row>
        <row r="147">
          <cell r="B147" t="str">
            <v>V Item 2</v>
          </cell>
        </row>
        <row r="148">
          <cell r="B148" t="str">
            <v>V Item 3</v>
          </cell>
        </row>
        <row r="149">
          <cell r="B149" t="str">
            <v>V Item 4</v>
          </cell>
        </row>
        <row r="150">
          <cell r="B150" t="str">
            <v>V Item 5</v>
          </cell>
        </row>
        <row r="151">
          <cell r="B151" t="str">
            <v>V Item 6</v>
          </cell>
        </row>
        <row r="152">
          <cell r="B152" t="str">
            <v>V Item 7</v>
          </cell>
        </row>
        <row r="153">
          <cell r="B153" t="str">
            <v>V Item 8</v>
          </cell>
        </row>
        <row r="156">
          <cell r="B156" t="str">
            <v>ACCESS CONTROL &amp; SECURITY</v>
          </cell>
        </row>
        <row r="157">
          <cell r="B157" t="str">
            <v>AC Item 1</v>
          </cell>
        </row>
        <row r="158">
          <cell r="B158" t="str">
            <v>AC Item 2</v>
          </cell>
        </row>
        <row r="159">
          <cell r="B159" t="str">
            <v>AC Item 3</v>
          </cell>
        </row>
        <row r="160">
          <cell r="B160" t="str">
            <v>AC Item 4</v>
          </cell>
        </row>
        <row r="161">
          <cell r="B161" t="str">
            <v>AC Item 5</v>
          </cell>
        </row>
        <row r="162">
          <cell r="B162" t="str">
            <v>AC Item 6</v>
          </cell>
        </row>
        <row r="163">
          <cell r="B163" t="str">
            <v>AC Item 7</v>
          </cell>
        </row>
        <row r="164">
          <cell r="B164" t="str">
            <v>AC Item 8</v>
          </cell>
        </row>
        <row r="167">
          <cell r="B167" t="str">
            <v>AUDIO VISUAL / TV / SATELITE</v>
          </cell>
        </row>
        <row r="168">
          <cell r="B168" t="str">
            <v>AV ITEM 1</v>
          </cell>
        </row>
        <row r="169">
          <cell r="B169" t="str">
            <v>AV ITEM 2</v>
          </cell>
        </row>
        <row r="170">
          <cell r="B170" t="str">
            <v>AV ITEM 3</v>
          </cell>
        </row>
        <row r="171">
          <cell r="B171" t="str">
            <v>AV ITEM 4</v>
          </cell>
        </row>
        <row r="172">
          <cell r="B172" t="str">
            <v>AV ITEM 5</v>
          </cell>
        </row>
        <row r="173">
          <cell r="B173" t="str">
            <v>AV ITEM 6</v>
          </cell>
        </row>
        <row r="174">
          <cell r="B174" t="str">
            <v>AV ITEM 7</v>
          </cell>
        </row>
        <row r="175">
          <cell r="B175" t="str">
            <v>AV ITEM 8</v>
          </cell>
        </row>
        <row r="178">
          <cell r="B178" t="str">
            <v>HEATING INTERFACE / CONTROLS</v>
          </cell>
        </row>
        <row r="179">
          <cell r="B179" t="str">
            <v>HI Item 1</v>
          </cell>
        </row>
        <row r="180">
          <cell r="B180" t="str">
            <v>HI Item 2</v>
          </cell>
        </row>
        <row r="181">
          <cell r="B181" t="str">
            <v>HI Item 3</v>
          </cell>
        </row>
        <row r="182">
          <cell r="B182" t="str">
            <v>HI Item 4</v>
          </cell>
        </row>
        <row r="183">
          <cell r="B183" t="str">
            <v>HI Item 5</v>
          </cell>
        </row>
        <row r="184">
          <cell r="B184" t="str">
            <v>HI Item 6</v>
          </cell>
        </row>
        <row r="185">
          <cell r="B185" t="str">
            <v>HI Item 7</v>
          </cell>
        </row>
        <row r="186">
          <cell r="B186" t="str">
            <v>HI Item 8</v>
          </cell>
        </row>
        <row r="189">
          <cell r="B189" t="str">
            <v>MISCELLANEOUS</v>
          </cell>
        </row>
        <row r="190">
          <cell r="B190" t="str">
            <v>Door Entry Handset</v>
          </cell>
        </row>
        <row r="191">
          <cell r="B191" t="str">
            <v>Electric Meter</v>
          </cell>
        </row>
        <row r="192">
          <cell r="B192" t="str">
            <v>Electric Towel Rail</v>
          </cell>
        </row>
        <row r="193">
          <cell r="B193" t="str">
            <v>Flex Connection Outlet</v>
          </cell>
        </row>
        <row r="194">
          <cell r="B194" t="str">
            <v>Ryefield Board</v>
          </cell>
        </row>
        <row r="195">
          <cell r="B195" t="str">
            <v>SP&amp;N Distribution Board</v>
          </cell>
        </row>
        <row r="196">
          <cell r="B196" t="str">
            <v>SP&amp;N Isolator</v>
          </cell>
        </row>
        <row r="197">
          <cell r="B197" t="str">
            <v>Earthing &amp; bonding</v>
          </cell>
        </row>
        <row r="198">
          <cell r="B198" t="str">
            <v>Surge protection</v>
          </cell>
        </row>
        <row r="199">
          <cell r="B199" t="str">
            <v>M Item 3</v>
          </cell>
        </row>
        <row r="200">
          <cell r="B200" t="str">
            <v>M Item 4</v>
          </cell>
        </row>
        <row r="201">
          <cell r="B201" t="str">
            <v>M Item 5</v>
          </cell>
        </row>
        <row r="202">
          <cell r="B202" t="str">
            <v>M Item 6</v>
          </cell>
        </row>
        <row r="203">
          <cell r="B203" t="str">
            <v>M Item 7</v>
          </cell>
        </row>
        <row r="204">
          <cell r="B204" t="str">
            <v>M Item 8</v>
          </cell>
        </row>
        <row r="207">
          <cell r="B207" t="str">
            <v>PRELIMS</v>
          </cell>
        </row>
        <row r="208">
          <cell r="B208" t="str">
            <v xml:space="preserve">O&amp;M's </v>
          </cell>
        </row>
        <row r="209">
          <cell r="B209" t="str">
            <v xml:space="preserve">Testing and Commissioning </v>
          </cell>
        </row>
        <row r="210">
          <cell r="B210" t="str">
            <v>Storage of tools and materials</v>
          </cell>
        </row>
        <row r="211">
          <cell r="B211" t="str">
            <v>Project Management</v>
          </cell>
        </row>
        <row r="212">
          <cell r="B212" t="str">
            <v>Access Towers</v>
          </cell>
        </row>
        <row r="213">
          <cell r="B213" t="str">
            <v>P Item 2</v>
          </cell>
        </row>
        <row r="214">
          <cell r="B214" t="str">
            <v>P Item 3</v>
          </cell>
        </row>
        <row r="217">
          <cell r="B217" t="str">
            <v>SITE TEMPORARIES</v>
          </cell>
        </row>
        <row r="218">
          <cell r="B218" t="str">
            <v>ST Item 1</v>
          </cell>
        </row>
        <row r="219">
          <cell r="B219" t="str">
            <v>ST Item 2</v>
          </cell>
        </row>
        <row r="220">
          <cell r="B220" t="str">
            <v>ST Item 3</v>
          </cell>
        </row>
        <row r="221">
          <cell r="B221" t="str">
            <v>ST Item 4</v>
          </cell>
        </row>
        <row r="222">
          <cell r="B222" t="str">
            <v>ST Item 5</v>
          </cell>
        </row>
        <row r="223">
          <cell r="B223" t="str">
            <v>ST Item 6</v>
          </cell>
        </row>
        <row r="224">
          <cell r="B224" t="str">
            <v>ST Item 7</v>
          </cell>
        </row>
        <row r="225">
          <cell r="B225" t="str">
            <v>ST Item 8</v>
          </cell>
        </row>
        <row r="228">
          <cell r="B228" t="str">
            <v>END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ing"/>
      <sheetName val="Breakdown"/>
      <sheetName val="Proc Sheet"/>
      <sheetName val="Containment"/>
      <sheetName val="Containment List"/>
      <sheetName val="Lighting"/>
      <sheetName val="Lighting List"/>
      <sheetName val="Sockets"/>
      <sheetName val="Sockets List"/>
      <sheetName val="Switches"/>
      <sheetName val="Switches List"/>
      <sheetName val="Consumer_Unit"/>
      <sheetName val="Consumer Unit List"/>
      <sheetName val="Misc"/>
      <sheetName val="Misc List"/>
      <sheetName val="Other"/>
      <sheetName val="Other List"/>
      <sheetName val="Type List"/>
    </sheetNames>
    <sheetDataSet>
      <sheetData sheetId="0" refreshError="1"/>
      <sheetData sheetId="1">
        <row r="10">
          <cell r="E10">
            <v>1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Containment</v>
          </cell>
        </row>
        <row r="3">
          <cell r="A3" t="str">
            <v>Lighting</v>
          </cell>
        </row>
        <row r="4">
          <cell r="A4" t="str">
            <v>Sockets</v>
          </cell>
        </row>
        <row r="5">
          <cell r="A5" t="str">
            <v>Switches</v>
          </cell>
        </row>
        <row r="6">
          <cell r="A6" t="str">
            <v>Consumer Unit</v>
          </cell>
        </row>
        <row r="7">
          <cell r="A7" t="str">
            <v>Misc</v>
          </cell>
        </row>
        <row r="8">
          <cell r="A8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35"/>
  <sheetViews>
    <sheetView tabSelected="1" topLeftCell="A2" zoomScale="71" zoomScaleNormal="85" workbookViewId="0">
      <selection activeCell="C9" sqref="C9:D9"/>
    </sheetView>
  </sheetViews>
  <sheetFormatPr baseColWidth="8" defaultColWidth="8.88671875" defaultRowHeight="14.4"/>
  <cols>
    <col width="4.6640625" customWidth="1" min="1" max="1"/>
    <col width="13.6640625" customWidth="1" min="2" max="2"/>
    <col width="9.6640625" customWidth="1" style="1" min="3" max="3"/>
    <col width="30.88671875" customWidth="1" style="2" min="4" max="4"/>
    <col width="23.5546875" customWidth="1" style="2" min="5" max="5"/>
    <col width="10.88671875" customWidth="1" style="2" min="6" max="6"/>
    <col width="6.5546875" customWidth="1" style="2" min="7" max="7"/>
    <col width="10.88671875" customWidth="1" style="2" min="8" max="8"/>
    <col width="17.6640625" customWidth="1" style="1" min="9" max="9"/>
    <col width="38" bestFit="1" customWidth="1" min="10" max="10"/>
    <col width="26.88671875" customWidth="1" min="11" max="11"/>
    <col width="26.109375" customWidth="1" min="12" max="12"/>
    <col width="15.88671875" customWidth="1" min="13" max="13"/>
    <col width="17.88671875" customWidth="1" min="14" max="14"/>
    <col width="13.6640625" customWidth="1" min="15" max="15"/>
  </cols>
  <sheetData>
    <row r="1" ht="15" customHeight="1" thickBot="1"/>
    <row r="2" ht="118.5" customFormat="1" customHeight="1" s="2">
      <c r="C2" s="26" t="n"/>
      <c r="D2" s="27" t="n"/>
      <c r="E2" s="27" t="n"/>
      <c r="F2" s="28" t="n"/>
      <c r="G2" s="28" t="n"/>
      <c r="H2" s="28" t="n"/>
      <c r="I2" s="29" t="n"/>
      <c r="J2" s="20" t="n"/>
      <c r="K2" s="20" t="n"/>
      <c r="L2" s="20" t="n"/>
      <c r="M2" s="20" t="n"/>
      <c r="N2" s="20" t="n"/>
      <c r="O2" s="20" t="n"/>
      <c r="P2" s="20" t="n"/>
      <c r="Q2" s="20" t="n"/>
    </row>
    <row r="3" ht="15.6" customHeight="1">
      <c r="C3" s="6" t="inlineStr">
        <is>
          <t>Client:</t>
        </is>
      </c>
      <c r="D3" s="7" t="inlineStr">
        <is>
          <t>Harrabin Construction</t>
        </is>
      </c>
      <c r="E3" s="7" t="n"/>
      <c r="F3" s="7" t="n"/>
      <c r="G3" s="7" t="n"/>
      <c r="H3" s="7" t="n"/>
      <c r="I3" s="8" t="n"/>
      <c r="J3" s="21" t="n"/>
      <c r="K3" s="20" t="inlineStr">
        <is>
          <t>Supplier used:</t>
        </is>
      </c>
      <c r="L3" s="20" t="inlineStr">
        <is>
          <t>BSW</t>
        </is>
      </c>
      <c r="M3" s="80" t="n"/>
      <c r="N3" s="21" t="n"/>
      <c r="O3" s="21" t="n"/>
      <c r="P3" s="21" t="n"/>
      <c r="Q3" s="21" t="n"/>
    </row>
    <row r="4" ht="15.6" customHeight="1">
      <c r="C4" s="9" t="inlineStr">
        <is>
          <t xml:space="preserve">Project Reference: </t>
        </is>
      </c>
      <c r="D4" s="10" t="inlineStr">
        <is>
          <t>Lyttleton Road</t>
        </is>
      </c>
      <c r="E4" s="10" t="n"/>
      <c r="F4" s="10" t="n"/>
      <c r="G4" s="10" t="n"/>
      <c r="H4" s="10" t="n"/>
      <c r="I4" s="11" t="n"/>
      <c r="J4" s="22" t="n"/>
      <c r="K4" s="21" t="n"/>
      <c r="L4" s="21" t="n"/>
      <c r="M4" s="21" t="n"/>
      <c r="N4" s="21" t="n"/>
      <c r="O4" s="21" t="n"/>
      <c r="P4" s="21" t="n"/>
      <c r="Q4" s="21" t="n"/>
    </row>
    <row r="5" ht="15.6" customHeight="1">
      <c r="C5" s="9" t="inlineStr">
        <is>
          <t>Site Address:</t>
        </is>
      </c>
      <c r="D5" s="10" t="inlineStr">
        <is>
          <t>Lyttleton Road (full address TBC at survey)</t>
        </is>
      </c>
      <c r="E5" s="10" t="n"/>
      <c r="F5" s="10" t="n"/>
      <c r="G5" s="10" t="n"/>
      <c r="H5" s="10" t="inlineStr">
        <is>
          <t>BSW 0000000445 net of 15% discount</t>
        </is>
      </c>
      <c r="I5" s="11" t="n"/>
      <c r="J5" s="21" t="n"/>
      <c r="K5" s="21" t="n"/>
      <c r="L5" s="21" t="n"/>
      <c r="M5" s="21" t="n"/>
      <c r="N5" s="21" t="n"/>
      <c r="O5" s="21" t="n"/>
      <c r="P5" s="21" t="n"/>
      <c r="Q5" s="21" t="n"/>
    </row>
    <row r="6" ht="16.2" customHeight="1" thickBot="1">
      <c r="C6" s="9" t="inlineStr">
        <is>
          <t>Date:</t>
        </is>
      </c>
      <c r="D6" s="12" t="inlineStr">
        <is>
          <t>17/07/2026</t>
        </is>
      </c>
      <c r="E6" s="10" t="n"/>
      <c r="F6" s="10" t="n"/>
      <c r="G6" s="10" t="n"/>
      <c r="H6" s="10" t="n"/>
      <c r="I6" s="11" t="n"/>
      <c r="J6" s="21" t="n"/>
      <c r="K6" s="21" t="n"/>
      <c r="L6" s="21" t="n"/>
      <c r="M6" s="21" t="n"/>
      <c r="N6" s="21" t="n"/>
      <c r="O6" s="21" t="n"/>
      <c r="P6" s="4" t="n"/>
      <c r="Q6" s="4" t="n"/>
      <c r="R6" s="3" t="n"/>
      <c r="S6" s="3" t="n"/>
      <c r="T6" s="3" t="n"/>
      <c r="U6" s="3" t="n"/>
      <c r="V6" s="3" t="n"/>
    </row>
    <row r="7" ht="15" customFormat="1" customHeight="1" s="3" thickBot="1">
      <c r="C7" s="81" t="inlineStr">
        <is>
          <t>Description</t>
        </is>
      </c>
      <c r="D7" s="82" t="n"/>
      <c r="E7" s="83" t="inlineStr">
        <is>
          <t xml:space="preserve">Size </t>
        </is>
      </c>
      <c r="F7" s="83" t="inlineStr">
        <is>
          <t>Qty</t>
        </is>
      </c>
      <c r="G7" s="83" t="inlineStr">
        <is>
          <t>Unit</t>
        </is>
      </c>
      <c r="H7" s="83" t="inlineStr">
        <is>
          <t>Unit Rate</t>
        </is>
      </c>
      <c r="I7" s="35" t="inlineStr">
        <is>
          <t>Total</t>
        </is>
      </c>
      <c r="J7" s="4" t="n"/>
      <c r="K7" s="4" t="n"/>
      <c r="L7" s="4" t="n"/>
      <c r="M7" s="4" t="n"/>
      <c r="N7" s="4" t="n"/>
      <c r="O7" s="4" t="n"/>
      <c r="P7" s="4" t="n"/>
      <c r="Q7" s="4" t="n"/>
    </row>
    <row r="8" ht="27.75" customFormat="1" customHeight="1" s="3">
      <c r="B8" s="62" t="inlineStr">
        <is>
          <t>PRODUCT CODES</t>
        </is>
      </c>
      <c r="C8" s="84" t="inlineStr">
        <is>
          <t>SMA Smart Wall</t>
        </is>
      </c>
      <c r="D8" s="85" t="n"/>
      <c r="E8" s="13" t="n"/>
      <c r="F8" s="86" t="n"/>
      <c r="G8" s="87" t="n"/>
      <c r="H8" s="87" t="n"/>
      <c r="I8" s="88" t="n"/>
      <c r="J8" s="4" t="inlineStr">
        <is>
          <t>Frames</t>
        </is>
      </c>
      <c r="K8" s="4" t="inlineStr">
        <is>
          <t xml:space="preserve">Glass </t>
        </is>
      </c>
      <c r="L8" s="4" t="inlineStr">
        <is>
          <t xml:space="preserve">Additional </t>
        </is>
      </c>
      <c r="M8" s="4" t="inlineStr">
        <is>
          <t>CW</t>
        </is>
      </c>
      <c r="N8" s="4" t="inlineStr">
        <is>
          <t>CW LABOUR</t>
        </is>
      </c>
      <c r="O8" s="21" t="inlineStr">
        <is>
          <t>CW SQM</t>
        </is>
      </c>
      <c r="P8" s="4" t="n"/>
      <c r="Q8" s="4" t="n"/>
    </row>
    <row r="9" customFormat="1" s="3">
      <c r="B9" s="4" t="inlineStr">
        <is>
          <t>SAW</t>
        </is>
      </c>
      <c r="C9" s="89" t="inlineStr">
        <is>
          <t>Type a - aluminium window, Smart Alitherm 400 HD, 6.8 lami/4 tuff, link vent</t>
        </is>
      </c>
      <c r="D9" s="90" t="n"/>
      <c r="E9" s="54" t="inlineStr">
        <is>
          <t>500 x 2458</t>
        </is>
      </c>
      <c r="F9" s="91" t="n">
        <v>4</v>
      </c>
      <c r="G9" s="92" t="inlineStr">
        <is>
          <t>nr</t>
        </is>
      </c>
      <c r="H9" s="86">
        <f>IF(B9="CW",
M9,
J9+K9+L9+
IF(B9="SUPD",1000*75%,
IF(B9="DUPD",1500*75%,
IF(B9="SAD",1200*75%,
IF(B9="DAD",2000*75%,
IF(B9="ELAW",850*75%,
IF(B9="LAW",650*75%,
IF(B9="MAW",550*75%,
IF(B9="SAW",450*75%,
IF(B9="LPVC",450*75%,
IF(B9="MPVC",400*75%,
IF(B9="SPVC",350*75%,
IF(B9="SADLAW",2000*75%,
IF(B9="SADMAW",1900*75%,
IF(B9="SADSAW",1700*75%,0)))))))))))))))</f>
        <v/>
      </c>
      <c r="I9" s="88">
        <f>SUM(H9*F9)</f>
        <v/>
      </c>
      <c r="J9" s="93" t="n">
        <v>775.17</v>
      </c>
      <c r="K9" s="4" t="n"/>
      <c r="L9" s="4" t="n"/>
      <c r="M9" s="4">
        <f>IF(B9="CW",SUM(O9*850),0)</f>
        <v/>
      </c>
      <c r="N9" s="4">
        <f>IF(B9="CW",SUM(O9*150),0)</f>
        <v/>
      </c>
      <c r="O9" s="21">
        <f>(TRIM(LEFT(E9,FIND("x",E9)-1)) * TRIM(MID(E9,FIND("x",E9)+1,LEN(E9)))) / 1000000</f>
        <v/>
      </c>
      <c r="P9" s="4">
        <f t="array" ref="P9">SUM(F9*J9:K9)</f>
        <v/>
      </c>
      <c r="Q9" s="4" t="n"/>
    </row>
    <row r="10" customFormat="1" s="3">
      <c r="B10" s="4" t="inlineStr">
        <is>
          <t>SAW</t>
        </is>
      </c>
      <c r="C10" s="94" t="inlineStr">
        <is>
          <t>Type b - aluminium window, top hung</t>
        </is>
      </c>
      <c r="D10" s="90" t="n"/>
      <c r="E10" s="54" t="inlineStr">
        <is>
          <t>1200 x 458</t>
        </is>
      </c>
      <c r="F10" s="91" t="n">
        <v>2</v>
      </c>
      <c r="G10" s="92" t="inlineStr">
        <is>
          <t>nr</t>
        </is>
      </c>
      <c r="H10" s="86">
        <f>IF(B10="CW",
M10,
J10+K10+L10+
IF(B10="SUPD",1000*75%,
IF(B10="DUPD",1500*75%,
IF(B10="SAD",1200*75%,
IF(B10="DAD",2000*75%,
IF(B10="ELAW",850*75%,
IF(B10="LAW",650*75%,
IF(B10="MAW",550*75%,
IF(B10="SAW",450*75%,
IF(B10="LPVC",450*75%,
IF(B10="MPVC",400*75%,
IF(B10="SPVC",350*75%,
IF(B10="SADLAW",2000*75%,
IF(B10="SADMAW",1900*75%,
IF(B10="SADSAW",1700*75%,0)))))))))))))))</f>
        <v/>
      </c>
      <c r="I10" s="88">
        <f>SUM(H10*F10)</f>
        <v/>
      </c>
      <c r="J10" s="93" t="n">
        <v>554.62</v>
      </c>
      <c r="K10" s="4" t="n"/>
      <c r="L10" s="4" t="n"/>
      <c r="M10" s="4">
        <f>IF(B10="CW",SUM(O10*850),0)</f>
        <v/>
      </c>
      <c r="N10" s="4">
        <f>IF(B10="CW",SUM(O10*150),0)</f>
        <v/>
      </c>
      <c r="O10" s="21">
        <f>(TRIM(LEFT(E10,FIND("x",E10)-1)) * TRIM(MID(E10,FIND("x",E10)+1,LEN(E10)))) / 1000000</f>
        <v/>
      </c>
      <c r="P10" s="4">
        <f t="array" ref="P10">SUM(F10*J10:K10)</f>
        <v/>
      </c>
      <c r="Q10" s="4" t="n"/>
    </row>
    <row r="11" customFormat="1" s="3">
      <c r="B11" s="4" t="inlineStr">
        <is>
          <t>MAW</t>
        </is>
      </c>
      <c r="C11" s="94" t="inlineStr">
        <is>
          <t>Type c - aluminium window, top hung</t>
        </is>
      </c>
      <c r="D11" s="90" t="n"/>
      <c r="E11" s="54" t="inlineStr">
        <is>
          <t>1600 x 1908</t>
        </is>
      </c>
      <c r="F11" s="91" t="n">
        <v>2</v>
      </c>
      <c r="G11" s="92" t="inlineStr">
        <is>
          <t>nr</t>
        </is>
      </c>
      <c r="H11" s="86">
        <f>IF(B11="CW",
M11,
J11+K11+L11+
IF(B11="SUPD",1000*75%,
IF(B11="DUPD",1500*75%,
IF(B11="SAD",1200*75%,
IF(B11="DAD",2000*75%,
IF(B11="ELAW",850*75%,
IF(B11="LAW",650*75%,
IF(B11="MAW",550*75%,
IF(B11="SAW",450*75%,
IF(B11="LPVC",450*75%,
IF(B11="MPVC",400*75%,
IF(B11="SPVC",350*75%,
IF(B11="SADLAW",2000*75%,
IF(B11="SADMAW",1900*75%,
IF(B11="SADSAW",1700*75%,0)))))))))))))))</f>
        <v/>
      </c>
      <c r="I11" s="88">
        <f>SUM(H11*F11)</f>
        <v/>
      </c>
      <c r="J11" s="93" t="n">
        <v>1083.59</v>
      </c>
      <c r="K11" s="4" t="n"/>
      <c r="L11" s="4" t="n"/>
      <c r="M11" s="4">
        <f>IF(B11="CW",SUM(O11*850),0)</f>
        <v/>
      </c>
      <c r="N11" s="4">
        <f>IF(B11="CW",SUM(O11*150),0)</f>
        <v/>
      </c>
      <c r="O11" s="21">
        <f>(TRIM(LEFT(E11,FIND("x",E11)-1)) * TRIM(MID(E11,FIND("x",E11)+1,LEN(E11)))) / 1000000</f>
        <v/>
      </c>
      <c r="P11" s="4">
        <f t="array" ref="P11">SUM(F11*J11:K11)</f>
        <v/>
      </c>
      <c r="Q11" s="4" t="n"/>
    </row>
    <row r="12" customFormat="1" s="3">
      <c r="B12" s="4" t="inlineStr">
        <is>
          <t>SAW</t>
        </is>
      </c>
      <c r="C12" s="94" t="inlineStr">
        <is>
          <t>Type d - aluminium window, top hung</t>
        </is>
      </c>
      <c r="D12" s="90" t="n"/>
      <c r="E12" s="54" t="inlineStr">
        <is>
          <t>500 x 808</t>
        </is>
      </c>
      <c r="F12" s="91" t="n">
        <v>1</v>
      </c>
      <c r="G12" s="92" t="inlineStr">
        <is>
          <t>nr</t>
        </is>
      </c>
      <c r="H12" s="86">
        <f>IF(B12="CW",
M12,
J12+K12+L12+
IF(B12="SUPD",1000*75%,
IF(B12="DUPD",1500*75%,
IF(B12="SAD",1200*75%,
IF(B12="DAD",2000*75%,
IF(B12="ELAW",850*75%,
IF(B12="LAW",650*75%,
IF(B12="MAW",550*75%,
IF(B12="SAW",450*75%,
IF(B12="LPVC",450*75%,
IF(B12="MPVC",400*75%,
IF(B12="SPVC",350*75%,
IF(B12="SADLAW",2000*75%,
IF(B12="SADMAW",1900*75%,
IF(B12="SADSAW",1700*75%,0)))))))))))))))</f>
        <v/>
      </c>
      <c r="I12" s="88">
        <f>SUM(H12*F12)</f>
        <v/>
      </c>
      <c r="J12" s="93" t="n">
        <v>477.39</v>
      </c>
      <c r="K12" s="4" t="n"/>
      <c r="L12" s="4" t="n"/>
      <c r="M12" s="4">
        <f>IF(B12="CW",SUM(O12*850),0)</f>
        <v/>
      </c>
      <c r="N12" s="4">
        <f>IF(B12="CW",SUM(O12*150),0)</f>
        <v/>
      </c>
      <c r="O12" s="21">
        <f>(TRIM(LEFT(E12,FIND("x",E12)-1)) * TRIM(MID(E12,FIND("x",E12)+1,LEN(E12)))) / 1000000</f>
        <v/>
      </c>
      <c r="P12" s="4">
        <f t="array" ref="P12">SUM(F12*J12:K12)</f>
        <v/>
      </c>
      <c r="Q12" s="4" t="n"/>
    </row>
    <row r="13" ht="30" customFormat="1" customHeight="1" s="3">
      <c r="B13" s="4" t="inlineStr">
        <is>
          <t>LAW</t>
        </is>
      </c>
      <c r="C13" s="95" t="inlineStr">
        <is>
          <t>Type e - aluminium window, 2 top hung + 2 fixed, 8.8 lami/6 tuff SG Ug 1.1</t>
        </is>
      </c>
      <c r="D13" s="90" t="n"/>
      <c r="E13" s="54" t="inlineStr">
        <is>
          <t>3425 x 3100</t>
        </is>
      </c>
      <c r="F13" s="91" t="n">
        <v>2</v>
      </c>
      <c r="G13" s="92" t="inlineStr">
        <is>
          <t>nr</t>
        </is>
      </c>
      <c r="H13" s="86">
        <f>IF(B13="CW",
M13,
J13+K13+L13+
IF(B13="SUPD",1000*75%,
IF(B13="DUPD",1500*75%,
IF(B13="SAD",1200*75%,
IF(B13="DAD",2000*75%,
IF(B13="ELAW",850*75%,
IF(B13="LAW",650*75%,
IF(B13="MAW",550*75%,
IF(B13="SAW",450*75%,
IF(B13="LPVC",450*75%,
IF(B13="MPVC",400*75%,
IF(B13="SPVC",350*75%,
IF(B13="SADLAW",2000*75%,
IF(B13="SADMAW",1900*75%,
IF(B13="SADSAW",1700*75%,0)))))))))))))))</f>
        <v/>
      </c>
      <c r="I13" s="88">
        <f>SUM(H13*F13)</f>
        <v/>
      </c>
      <c r="J13" s="93" t="n">
        <v>3304.83</v>
      </c>
      <c r="K13" s="4" t="n"/>
      <c r="L13" s="4" t="n"/>
      <c r="M13" s="4">
        <f>IF(B13="CW",SUM(O13*850),0)</f>
        <v/>
      </c>
      <c r="N13" s="4">
        <f>IF(B13="CW",SUM(O13*150),0)</f>
        <v/>
      </c>
      <c r="O13" s="21">
        <f>(TRIM(LEFT(E13,FIND("x",E13)-1)) * TRIM(MID(E13,FIND("x",E13)+1,LEN(E13)))) / 1000000</f>
        <v/>
      </c>
      <c r="P13" s="4">
        <f t="array" ref="P13">SUM(F13*J13:K13)</f>
        <v/>
      </c>
      <c r="Q13" s="4" t="n"/>
    </row>
    <row r="14" ht="36" customFormat="1" customHeight="1" s="3">
      <c r="B14" s="4" t="inlineStr">
        <is>
          <t>SAW</t>
        </is>
      </c>
      <c r="C14" s="95" t="inlineStr">
        <is>
          <t>Type f - aluminium window, top hung</t>
        </is>
      </c>
      <c r="D14" s="90" t="n"/>
      <c r="E14" s="54" t="inlineStr">
        <is>
          <t>1200 x 1908</t>
        </is>
      </c>
      <c r="F14" s="96" t="n">
        <v>1</v>
      </c>
      <c r="G14" s="92" t="inlineStr">
        <is>
          <t>nr</t>
        </is>
      </c>
      <c r="H14" s="86">
        <f>IF(B14="CW",
M14,
J14+K14+L14+
IF(B14="SUPD",1000*75%,
IF(B14="DUPD",1500*75%,
IF(B14="SAD",1200*75%,
IF(B14="DAD",2000*75%,
IF(B14="ELAW",850*75%,
IF(B14="LAW",650*75%,
IF(B14="MAW",550*75%,
IF(B14="SAW",450*75%,
IF(B14="LPVC",450*75%,
IF(B14="MPVC",400*75%,
IF(B14="SPVC",350*75%,
IF(B14="SADLAW",2000*75%,
IF(B14="SADMAW",1900*75%,
IF(B14="SADSAW",1700*75%,0)))))))))))))))</f>
        <v/>
      </c>
      <c r="I14" s="88">
        <f>SUM(H14*F14)</f>
        <v/>
      </c>
      <c r="J14" s="93" t="n">
        <v>927.11</v>
      </c>
      <c r="K14" s="4" t="n"/>
      <c r="L14" s="4" t="n"/>
      <c r="M14" s="4">
        <f>IF(B14="CW",SUM(O14*850),0)</f>
        <v/>
      </c>
      <c r="N14" s="4">
        <f>IF(B14="CW",SUM(O14*150),0)</f>
        <v/>
      </c>
      <c r="O14" s="21">
        <f>(TRIM(LEFT(E14,FIND("x",E14)-1)) * TRIM(MID(E14,FIND("x",E14)+1,LEN(E14)))) / 1000000</f>
        <v/>
      </c>
      <c r="P14" s="4">
        <f t="array" ref="P14">SUM(F14*J14:K14)</f>
        <v/>
      </c>
      <c r="Q14" s="4" t="n"/>
    </row>
    <row r="15" customFormat="1" s="3">
      <c r="B15" s="4" t="inlineStr">
        <is>
          <t>MAW</t>
        </is>
      </c>
      <c r="C15" s="97" t="inlineStr">
        <is>
          <t>Type g - aluminium window, top hung</t>
        </is>
      </c>
      <c r="D15" s="90" t="n"/>
      <c r="E15" s="54" t="inlineStr">
        <is>
          <t>1600 x 1758</t>
        </is>
      </c>
      <c r="F15" s="96" t="n">
        <v>1</v>
      </c>
      <c r="G15" s="92" t="inlineStr">
        <is>
          <t>nr</t>
        </is>
      </c>
      <c r="H15" s="86">
        <f>IF(B15="CW",
M15,
J15+K15+L15+
IF(B15="SUPD",1000*75%,
IF(B15="DUPD",1500*75%,
IF(B15="SAD",1200*75%,
IF(B15="DAD",2000*75%,
IF(B15="ELAW",850*75%,
IF(B15="LAW",650*75%,
IF(B15="MAW",550*75%,
IF(B15="SAW",450*75%,
IF(B15="LPVC",450*75%,
IF(B15="MPVC",400*75%,
IF(B15="SPVC",350*75%,
IF(B15="SADLAW",2000*75%,
IF(B15="SADMAW",1900*75%,
IF(B15="SADSAW",1700*75%,0)))))))))))))))</f>
        <v/>
      </c>
      <c r="I15" s="88">
        <f>SUM(H15*F15)</f>
        <v/>
      </c>
      <c r="J15" s="93" t="n">
        <v>1042.44</v>
      </c>
      <c r="K15" s="4" t="n"/>
      <c r="L15" s="4" t="n"/>
      <c r="M15" s="4">
        <f>IF(B15="CW",SUM(O15*850),0)</f>
        <v/>
      </c>
      <c r="N15" s="4">
        <f>IF(B15="CW",SUM(O15*150),0)</f>
        <v/>
      </c>
      <c r="O15" s="21">
        <f>(TRIM(LEFT(E15,FIND("x",E15)-1)) * TRIM(MID(E15,FIND("x",E15)+1,LEN(E15)))) / 1000000</f>
        <v/>
      </c>
      <c r="P15" s="4">
        <f t="array" ref="P15">SUM(F15*J15:K15)</f>
        <v/>
      </c>
      <c r="Q15" s="4" t="n"/>
    </row>
    <row r="16" customFormat="1" s="3">
      <c r="B16" s="4" t="inlineStr">
        <is>
          <t>DAD</t>
        </is>
      </c>
      <c r="C16" s="95" t="inlineStr">
        <is>
          <t>Door a - double pivoted anti-fingertrap, Smart Wall Pocket, electric strike, incl shaped toplight (Sheerline 72mm, trim at 100mm Smart Wall head)</t>
        </is>
      </c>
      <c r="D16" s="90" t="n"/>
      <c r="E16" s="54" t="inlineStr">
        <is>
          <t>1510 x 2500</t>
        </is>
      </c>
      <c r="F16" s="96" t="n">
        <v>1</v>
      </c>
      <c r="G16" s="92" t="inlineStr">
        <is>
          <t>nr</t>
        </is>
      </c>
      <c r="H16" s="86">
        <f>IF(B16="CW",
M16,
J16+K16+L16+
IF(B16="SUPD",1000*75%,
IF(B16="DUPD",1500*75%,
IF(B16="SAD",1200*75%,
IF(B16="DAD",2000*75%,
IF(B16="ELAW",850*75%,
IF(B16="LAW",650*75%,
IF(B16="MAW",550*75%,
IF(B16="SAW",450*75%,
IF(B16="LPVC",450*75%,
IF(B16="MPVC",400*75%,
IF(B16="SPVC",350*75%,
IF(B16="SADLAW",2000*75%,
IF(B16="SADMAW",1900*75%,
IF(B16="SADSAW",1700*75%,0)))))))))))))))</f>
        <v/>
      </c>
      <c r="I16" s="88">
        <f>SUM(H16*F16)</f>
        <v/>
      </c>
      <c r="J16" s="93" t="n">
        <v>4593.34</v>
      </c>
      <c r="K16" s="4" t="n"/>
      <c r="L16" s="4" t="n"/>
      <c r="M16" s="4">
        <f>IF(B16="CW",SUM(O16*850),0)</f>
        <v/>
      </c>
      <c r="N16" s="4">
        <f>IF(B16="CW",SUM(O16*150),0)</f>
        <v/>
      </c>
      <c r="O16" s="21">
        <f>(TRIM(LEFT(E16,FIND("x",E16)-1)) * TRIM(MID(E16,FIND("x",E16)+1,LEN(E16)))) / 1000000</f>
        <v/>
      </c>
      <c r="P16" s="4">
        <f t="array" ref="P16">SUM(F16*J16:K16)</f>
        <v/>
      </c>
      <c r="Q16" s="4" t="n"/>
    </row>
    <row r="17" customFormat="1" s="3">
      <c r="B17" s="4" t="inlineStr">
        <is>
          <t>SAD</t>
        </is>
      </c>
      <c r="C17" s="95" t="inlineStr">
        <is>
          <t>Door b - single pivoted anti-fingertrap, concealed panic bar, closer</t>
        </is>
      </c>
      <c r="D17" s="90" t="n"/>
      <c r="E17" s="54" t="inlineStr">
        <is>
          <t>960 x 2100</t>
        </is>
      </c>
      <c r="F17" s="96" t="n">
        <v>1</v>
      </c>
      <c r="G17" s="92" t="inlineStr">
        <is>
          <t>nr</t>
        </is>
      </c>
      <c r="H17" s="86">
        <f>IF(B17="CW",
M17,
J17+K17+L17+
IF(B17="SUPD",1000*75%,
IF(B17="DUPD",1500*75%,
IF(B17="SAD",1200*75%,
IF(B17="DAD",2000*75%,
IF(B17="ELAW",850*75%,
IF(B17="LAW",650*75%,
IF(B17="MAW",550*75%,
IF(B17="SAW",450*75%,
IF(B17="LPVC",450*75%,
IF(B17="MPVC",400*75%,
IF(B17="SPVC",350*75%,
IF(B17="SADLAW",2000*75%,
IF(B17="SADMAW",1900*75%,
IF(B17="SADSAW",1700*75%,0)))))))))))))))</f>
        <v/>
      </c>
      <c r="I17" s="88">
        <f>SUM(H17*F17)</f>
        <v/>
      </c>
      <c r="J17" s="93" t="n">
        <v>2479.76</v>
      </c>
      <c r="K17" s="4" t="n"/>
      <c r="L17" s="4" t="n"/>
      <c r="M17" s="4">
        <f>IF(B17="CW",SUM(O17*850),0)</f>
        <v/>
      </c>
      <c r="N17" s="4">
        <f>IF(B17="CW",SUM(O17*150),0)</f>
        <v/>
      </c>
      <c r="O17" s="21">
        <f>(TRIM(LEFT(E17,FIND("x",E17)-1)) * TRIM(MID(E17,FIND("x",E17)+1,LEN(E17)))) / 1000000</f>
        <v/>
      </c>
      <c r="P17" s="4">
        <f t="array" ref="P17">SUM(F17*J17:K17)</f>
        <v/>
      </c>
      <c r="Q17" s="4" t="n"/>
    </row>
    <row r="18" customFormat="1" s="3">
      <c r="B18" s="4" t="inlineStr">
        <is>
          <t>SAD</t>
        </is>
      </c>
      <c r="C18" s="95" t="inlineStr">
        <is>
          <t>Door c - single pivoted anti-fingertrap, flat aluminium panels, panic bar</t>
        </is>
      </c>
      <c r="D18" s="90" t="n"/>
      <c r="E18" s="54" t="inlineStr">
        <is>
          <t>1010 x 2100</t>
        </is>
      </c>
      <c r="F18" s="96" t="n">
        <v>1</v>
      </c>
      <c r="G18" s="92" t="inlineStr">
        <is>
          <t>nr</t>
        </is>
      </c>
      <c r="H18" s="86">
        <f>IF(B18="CW",
M18,
J18+K18+L18+
IF(B18="SUPD",1000*75%,
IF(B18="DUPD",1500*75%,
IF(B18="SAD",1200*75%,
IF(B18="DAD",2000*75%,
IF(B18="ELAW",850*75%,
IF(B18="LAW",650*75%,
IF(B18="MAW",550*75%,
IF(B18="SAW",450*75%,
IF(B18="LPVC",450*75%,
IF(B18="MPVC",400*75%,
IF(B18="SPVC",350*75%,
IF(B18="SADLAW",2000*75%,
IF(B18="SADMAW",1900*75%,
IF(B18="SADSAW",1700*75%,0)))))))))))))))</f>
        <v/>
      </c>
      <c r="I18" s="88">
        <f>SUM(H18*F18)</f>
        <v/>
      </c>
      <c r="J18" s="93" t="n">
        <v>2723.99</v>
      </c>
      <c r="K18" s="4" t="n"/>
      <c r="L18" s="4" t="n"/>
      <c r="M18" s="4">
        <f>IF(B18="CW",SUM(O18*850),0)</f>
        <v/>
      </c>
      <c r="N18" s="4">
        <f>IF(B18="CW",SUM(O18*150),0)</f>
        <v/>
      </c>
      <c r="O18" s="21">
        <f>(TRIM(LEFT(E18,FIND("x",E18)-1)) * TRIM(MID(E18,FIND("x",E18)+1,LEN(E18)))) / 1000000</f>
        <v/>
      </c>
      <c r="P18" s="4">
        <f t="array" ref="P18">SUM(F18*J18:K18)</f>
        <v/>
      </c>
      <c r="Q18" s="4" t="n"/>
    </row>
    <row r="19" customFormat="1" s="3">
      <c r="B19" s="4" t="inlineStr">
        <is>
          <t>SADSAW</t>
        </is>
      </c>
      <c r="C19" s="97" t="inlineStr">
        <is>
          <t>Door d - fixed field + single anti-fingertrap door, obscure satin glass</t>
        </is>
      </c>
      <c r="D19" s="90" t="n"/>
      <c r="E19" s="54" t="inlineStr">
        <is>
          <t>1600 x 2100</t>
        </is>
      </c>
      <c r="F19" s="96" t="n">
        <v>1</v>
      </c>
      <c r="G19" s="92" t="inlineStr">
        <is>
          <t>nr</t>
        </is>
      </c>
      <c r="H19" s="86">
        <f>IF(B19="CW",
M19,
J19+K19+L19+
IF(B19="SUPD",1000*75%,
IF(B19="DUPD",1500*75%,
IF(B19="SAD",1200*75%,
IF(B19="DAD",2000*75%,
IF(B19="ELAW",850*75%,
IF(B19="LAW",650*75%,
IF(B19="MAW",550*75%,
IF(B19="SAW",450*75%,
IF(B19="LPVC",450*75%,
IF(B19="MPVC",400*75%,
IF(B19="SPVC",350*75%,
IF(B19="SADLAW",2000*75%,
IF(B19="SADMAW",1900*75%,
IF(B19="SADSAW",1700*75%,0)))))))))))))))</f>
        <v/>
      </c>
      <c r="I19" s="88">
        <f>SUM(H19*F19)</f>
        <v/>
      </c>
      <c r="J19" s="93" t="n">
        <v>2930.12</v>
      </c>
      <c r="K19" s="4" t="n"/>
      <c r="L19" s="4" t="n"/>
      <c r="M19" s="4">
        <f>IF(B19="CW",SUM(O19*850),0)</f>
        <v/>
      </c>
      <c r="N19" s="4">
        <f>IF(B19="CW",SUM(O19*150),0)</f>
        <v/>
      </c>
      <c r="O19" s="57">
        <f>(TRIM(LEFT(E19,FIND("x",E19)-1)) * TRIM(MID(E19,FIND("x",E19)+1,LEN(E19)))) / 1000000</f>
        <v/>
      </c>
      <c r="P19" s="4">
        <f t="array" ref="P19">SUM(F19*J19:K19)</f>
        <v/>
      </c>
      <c r="Q19" s="4" t="n"/>
    </row>
    <row r="20" ht="39.75" customFormat="1" customHeight="1" s="3" thickBot="1">
      <c r="B20" s="4" t="n"/>
      <c r="C20" s="98" t="n"/>
      <c r="D20" s="99" t="n"/>
      <c r="E20" s="63" t="n"/>
      <c r="F20" s="96" t="n"/>
      <c r="G20" s="92" t="n"/>
      <c r="H20" s="86">
        <f>IF(B20="CW",
M20,
J20+K20+L20+
IF(B20="SUPD",1000*75%,
IF(B20="DUPD",1500*75%,
IF(B20="SAD",1200*75%,
IF(B20="DAD",2000*75%,
IF(B20="ELAW",850*75%,
IF(B20="LAW",650*75%,
IF(B20="MAW",550*75%,
IF(B20="SAW",450*75%,
IF(B20="LPVC",450*75%,
IF(B20="MPVC",400*75%,
IF(B20="SPVC",350*75%,
IF(B20="SADLAW",2000*75%,
IF(B20="SADMAW",1900*75%,
IF(B20="SADSAW",1700*75%,0)))))))))))))))</f>
        <v/>
      </c>
      <c r="I20" s="88">
        <f>SUM(H20*F20)</f>
        <v/>
      </c>
      <c r="J20" s="93" t="n"/>
      <c r="K20" s="4" t="n"/>
      <c r="L20" s="4" t="n"/>
      <c r="M20" s="4">
        <f>IF(B20="CW",SUM(O20*850),0)</f>
        <v/>
      </c>
      <c r="N20" s="4">
        <f>IF(B20="CW",SUM(O20*150),0)</f>
        <v/>
      </c>
      <c r="O20" s="57">
        <f>(TRIM(LEFT(E20,FIND("x",E20)-1)) * TRIM(MID(E20,FIND("x",E20)+1,LEN(E20)))) / 1000000</f>
        <v/>
      </c>
      <c r="P20" s="4">
        <f>SUM(P9:P19)</f>
        <v/>
      </c>
      <c r="Q20" s="4" t="n"/>
    </row>
    <row r="21" ht="15" customFormat="1" customHeight="1" s="3">
      <c r="C21" s="100" t="n"/>
      <c r="D21" s="101" t="n"/>
      <c r="E21" s="102" t="n"/>
      <c r="F21" s="102" t="n"/>
      <c r="G21" s="101" t="inlineStr">
        <is>
          <t>INSTALLATION</t>
        </is>
      </c>
      <c r="H21" s="103" t="n"/>
      <c r="I21" s="104">
        <f t="array" ref="I21">SUMPRODUCT((B9:B20="CW")*F9:F20*N9:N20)+SUMPRODUCT(F9:F20*IF(B9:B20="SUPD",250,IF(B9:B20="DUPD",500,IF(B9:B20="SAD",250,IF(B9:B20="DAD",500,IF(B9:B20="ELAW",250,IF(B9:B20="LAW",160,IF(B9:B20="MAW",160,IF(B9:B20="SAW",160,IF(B9:B20="LPVC",160,IF(B9:B20="MPVC",160,IF(B9:B20="SPVC",160,IF(B9:B20="SADLAW",410,IF(B9:B20="SADMAW",410,IF(B9:B20="SADSAW",410,0))))))))))))))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15" customFormat="1" customHeight="1" s="3">
      <c r="C22" s="105" t="n"/>
      <c r="D22" s="106" t="n"/>
      <c r="E22" s="107" t="n"/>
      <c r="F22" s="107" t="n"/>
      <c r="G22" s="107" t="n"/>
      <c r="H22" s="107" t="n"/>
      <c r="I22" s="108" t="n"/>
      <c r="J22" s="4" t="n"/>
      <c r="K22" s="4" t="inlineStr">
        <is>
          <t xml:space="preserve">   </t>
        </is>
      </c>
      <c r="L22" s="4" t="n"/>
      <c r="M22" s="4" t="n"/>
      <c r="N22" s="4" t="n"/>
      <c r="O22" s="4" t="n"/>
      <c r="P22" s="4" t="n"/>
      <c r="Q22" s="4" t="n"/>
    </row>
    <row r="23" ht="13.8" customFormat="1" customHeight="1" s="3">
      <c r="C23" s="40" t="n"/>
      <c r="D23" s="30" t="n"/>
      <c r="E23" s="30" t="n"/>
      <c r="F23" s="107" t="n"/>
      <c r="G23" s="107" t="n"/>
      <c r="H23" s="107" t="inlineStr">
        <is>
          <t>TOTAL*</t>
        </is>
      </c>
      <c r="I23" s="109">
        <f>SUM(I9:I19)+I21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</row>
    <row r="24" customFormat="1" s="3" thickBot="1">
      <c r="C24" s="45" t="n"/>
      <c r="D24" s="32" t="n"/>
      <c r="E24" s="32" t="n"/>
      <c r="F24" s="110" t="n"/>
      <c r="G24" s="110" t="n"/>
      <c r="H24" s="110" t="n"/>
      <c r="I24" s="111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5.4" customFormat="1" customHeight="1" s="3" thickBot="1"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15.6" customFormat="1" customHeight="1" s="3">
      <c r="C26" s="36" t="n"/>
      <c r="D26" s="61" t="inlineStr">
        <is>
          <t>OPTIONAL</t>
        </is>
      </c>
      <c r="E26" s="37" t="n"/>
      <c r="F26" s="102" t="n"/>
      <c r="G26" s="102" t="n"/>
      <c r="H26" s="102" t="n"/>
      <c r="I26" s="112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customFormat="1" s="3">
      <c r="C27" s="40" t="n"/>
      <c r="D27" s="41" t="n"/>
      <c r="E27" s="42" t="n"/>
      <c r="F27" s="113" t="inlineStr">
        <is>
          <t>EXTERNAL MASTIC</t>
        </is>
      </c>
      <c r="I27" s="108" t="n">
        <v>568.6799999999999</v>
      </c>
      <c r="J27" s="4" t="n"/>
      <c r="K27" s="4" t="n"/>
      <c r="L27" s="4" t="n"/>
      <c r="M27" s="4" t="n"/>
      <c r="N27" s="4" t="n"/>
      <c r="O27" s="4" t="n"/>
      <c r="P27" s="4" t="n"/>
      <c r="Q27" s="4" t="n"/>
    </row>
    <row r="28" customFormat="1" s="3">
      <c r="C28" s="40" t="n"/>
      <c r="D28" s="41" t="n"/>
      <c r="E28" s="42" t="n"/>
      <c r="F28" s="113" t="inlineStr">
        <is>
          <t>EDPM</t>
        </is>
      </c>
      <c r="I28" s="108" t="n">
        <v>1253.35</v>
      </c>
      <c r="J28" s="4" t="n"/>
      <c r="K28" s="4" t="n"/>
      <c r="L28" s="4" t="n"/>
      <c r="M28" s="4" t="inlineStr">
        <is>
          <t xml:space="preserve"> </t>
        </is>
      </c>
      <c r="N28" s="4" t="n"/>
      <c r="O28" s="4" t="n"/>
      <c r="P28" s="4" t="n"/>
      <c r="Q28" s="4" t="n"/>
    </row>
    <row r="29" ht="18.6" customFormat="1" customHeight="1" s="3" thickBot="1">
      <c r="C29" s="45" t="n"/>
      <c r="D29" s="46" t="n"/>
      <c r="E29" s="46" t="n"/>
      <c r="F29" s="46" t="n"/>
      <c r="G29" s="46" t="n"/>
      <c r="H29" s="46" t="n"/>
      <c r="I29" s="47" t="n"/>
      <c r="J29" s="4" t="n"/>
      <c r="K29" s="5" t="n"/>
      <c r="L29" s="4" t="n"/>
      <c r="M29" s="4" t="n"/>
      <c r="N29" s="4" t="n"/>
      <c r="O29" s="4" t="n"/>
      <c r="P29" s="4" t="n"/>
      <c r="Q29" s="4" t="n"/>
    </row>
    <row r="30">
      <c r="C30" s="24" t="inlineStr">
        <is>
          <t xml:space="preserve">* Total value excluding VAT. </t>
        </is>
      </c>
      <c r="D30" s="20" t="n"/>
      <c r="E30" s="20" t="n"/>
    </row>
    <row r="31">
      <c r="C31" s="25" t="inlineStr">
        <is>
          <t>** This pricing document should be read in conjunction with the Terms and Conditions.</t>
        </is>
      </c>
      <c r="D31" s="20" t="n"/>
      <c r="E31" s="20" t="n"/>
    </row>
    <row r="32">
      <c r="C32" s="23" t="n"/>
      <c r="D32" s="20" t="n"/>
      <c r="E32" s="20" t="n"/>
    </row>
    <row r="33">
      <c r="C33" s="23" t="n"/>
      <c r="D33" s="20" t="n"/>
      <c r="E33" s="20" t="n"/>
    </row>
    <row r="34">
      <c r="C34" s="23" t="n"/>
      <c r="D34" s="20" t="n"/>
      <c r="E34" s="20" t="n"/>
    </row>
    <row r="35">
      <c r="C35" s="23" t="n"/>
      <c r="D35" s="20" t="n"/>
      <c r="E35" s="20" t="n"/>
    </row>
  </sheetData>
  <mergeCells count="17">
    <mergeCell ref="G21:H21"/>
    <mergeCell ref="C12:D12"/>
    <mergeCell ref="C20:D20"/>
    <mergeCell ref="C7:D7"/>
    <mergeCell ref="F28:H28"/>
    <mergeCell ref="C16:D16"/>
    <mergeCell ref="C10:D10"/>
    <mergeCell ref="C15:D15"/>
    <mergeCell ref="C11:D11"/>
    <mergeCell ref="F27:H27"/>
    <mergeCell ref="C19:D19"/>
    <mergeCell ref="C14:D14"/>
    <mergeCell ref="C13:D13"/>
    <mergeCell ref="C9:D9"/>
    <mergeCell ref="C17:D17"/>
    <mergeCell ref="C18:D18"/>
    <mergeCell ref="C8:D8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 Parker;dan.parker@agsurveying.co.uk</dc:creator>
  <dcterms:created xmlns:dcterms="http://purl.org/dc/terms/" xmlns:xsi="http://www.w3.org/2001/XMLSchema-instance" xsi:type="dcterms:W3CDTF">2018-12-07T08:13:03Z</dcterms:created>
  <dcterms:modified xmlns:dcterms="http://purl.org/dc/terms/" xmlns:xsi="http://www.w3.org/2001/XMLSchema-instance" xsi:type="dcterms:W3CDTF">2026-07-17T14:30:37Z</dcterms:modified>
  <cp:lastModifiedBy>Fenster Glazing</cp:lastModifiedBy>
  <cp:lastPrinted>2026-03-04T15:45:18Z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0x010100BBE029A084523C4C9690FE69933833E4</vt:lpwstr>
  </property>
  <property name="MediaServiceImageTags" fmtid="{D5CDD505-2E9C-101B-9397-08002B2CF9AE}" pid="3">
    <vt:lpwstr xmlns:vt="http://schemas.openxmlformats.org/officeDocument/2006/docPropsVTypes"/>
  </property>
</Properties>
</file>