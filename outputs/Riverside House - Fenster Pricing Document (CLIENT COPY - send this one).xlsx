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definedNames>
    <definedName name="_xlnm.Print_Titles" localSheetId="0">'Pricing Document '!$2:$7</definedName>
    <definedName name="_xlnm.Print_Area" localSheetId="0">'Pricing Document '!$C$1:$I$45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7" fillId="0" borderId="29" applyAlignment="1" pivotButton="0" quotePrefix="1" xfId="0">
      <alignment horizontal="center" vertical="center" wrapText="1"/>
    </xf>
    <xf numFmtId="0" fontId="0" fillId="0" borderId="28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  <xf numFmtId="0" fontId="1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4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</row>
    <row r="3" ht="15.6" customHeight="1">
      <c r="C3" s="6" t="inlineStr">
        <is>
          <t>Client:</t>
        </is>
      </c>
      <c r="D3" s="7" t="inlineStr">
        <is>
          <t>RRR Group Limited</t>
        </is>
      </c>
      <c r="E3" s="7" t="n"/>
      <c r="F3" s="7" t="n"/>
      <c r="G3" s="7" t="n"/>
      <c r="H3" s="7" t="n"/>
      <c r="I3" s="8" t="n"/>
    </row>
    <row r="4" ht="15.6" customHeight="1">
      <c r="C4" s="9" t="inlineStr">
        <is>
          <t xml:space="preserve">Project Reference: </t>
        </is>
      </c>
      <c r="D4" s="10" t="inlineStr">
        <is>
          <t>Riverside House - AOV Smoke Vents to Stairwells</t>
        </is>
      </c>
      <c r="E4" s="10" t="n"/>
      <c r="F4" s="10" t="n"/>
      <c r="G4" s="10" t="n"/>
      <c r="H4" s="10" t="n"/>
      <c r="I4" s="11" t="n"/>
    </row>
    <row r="5" ht="15.6" customHeight="1">
      <c r="C5" s="9" t="inlineStr">
        <is>
          <t>Site Address:</t>
        </is>
      </c>
      <c r="D5" s="10" t="inlineStr">
        <is>
          <t>Riverside House, 44 Wedgewood Street, Fairford Leys, Aylesbury, Bucks HP19 7HL</t>
        </is>
      </c>
      <c r="E5" s="10" t="n"/>
      <c r="F5" s="10" t="n"/>
      <c r="G5" s="10" t="n"/>
      <c r="H5" s="10" t="inlineStr">
        <is>
          <t>SUPPLY ONLY quote made supply-and-fit. 2no AOV smoke vents, one per stairwell, per K1653-11 / K1653-12. Frames/glass/surcharge are A Plus QT51518 27/07/2026 net, split per unit. Valid to 26/08/2026. Free area quoted GEOMETRIC 1.30 m2 per vent - aerodynamic figure not stated (RFI-1). AOV control panel, wiring, fire-brigade override and commissioning EXCLUDED - not in the A Plus scope.</t>
        </is>
      </c>
      <c r="I5" s="11" t="n"/>
    </row>
    <row r="6" ht="16.2" customHeight="1" thickBot="1">
      <c r="C6" s="9" t="inlineStr">
        <is>
          <t>Date:</t>
        </is>
      </c>
      <c r="D6" s="12" t="inlineStr">
        <is>
          <t>27/07/2026</t>
        </is>
      </c>
      <c r="E6" s="10" t="n"/>
      <c r="F6" s="10" t="n"/>
      <c r="G6" s="10" t="n"/>
      <c r="H6" s="10" t="n"/>
      <c r="I6" s="11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</row>
    <row r="8" ht="27.75" customFormat="1" customHeight="1" s="3">
      <c r="B8" s="62" t="n"/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</row>
    <row r="9" customFormat="1" s="3">
      <c r="B9" s="4" t="n"/>
      <c r="C9" s="89" t="inlineStr">
        <is>
          <t>AOV.01 - Sapa DualFrame 75Si bottom-hung automatic opening smoke vent to Stairwell 1 (top storey, second floor - drg K1653-12). Style FF, white, open out, 850mm stroke single chain actuator 9006 satin, 155mm Technal subcill, 4-20-4 Clr Tough S Coat 1.2 / 20mm black warm edge. Geometric free area 1.30 m2.</t>
        </is>
      </c>
      <c r="D9" s="90" t="n"/>
      <c r="E9" s="54" t="inlineStr">
        <is>
          <t>1130 x 1530</t>
        </is>
      </c>
      <c r="F9" s="91" t="n">
        <v>1</v>
      </c>
      <c r="G9" s="92" t="inlineStr">
        <is>
          <t>nr</t>
        </is>
      </c>
      <c r="H9" s="86" t="n">
        <v>2835.11</v>
      </c>
      <c r="I9" s="88" t="n">
        <v>2835.11</v>
      </c>
    </row>
    <row r="10" customFormat="1" s="3">
      <c r="B10" s="4" t="n"/>
      <c r="C10" s="94" t="inlineStr">
        <is>
          <t>AOV.02 - Sapa DualFrame 75Si bottom-hung automatic opening smoke vent to Stairwell 2 (top storey, first floor - drg K1653-11). Style FF, white, open out, 850mm stroke single chain actuator 9006 satin, 155mm Technal subcill, 4-20-4 Clr Tough S Coat 1.2 / 20mm black warm edge. Geometric free area 1.30 m2.</t>
        </is>
      </c>
      <c r="D10" s="90" t="n"/>
      <c r="E10" s="54" t="inlineStr">
        <is>
          <t>1130 x 1530</t>
        </is>
      </c>
      <c r="F10" s="91" t="n">
        <v>1</v>
      </c>
      <c r="G10" s="92" t="inlineStr">
        <is>
          <t>nr</t>
        </is>
      </c>
      <c r="H10" s="86" t="n">
        <v>2835.11</v>
      </c>
      <c r="I10" s="88" t="n">
        <v>2835.11</v>
      </c>
    </row>
    <row r="11" customFormat="1" s="3">
      <c r="B11" s="4" t="n"/>
      <c r="C11" s="94" t="n"/>
      <c r="D11" s="90" t="n"/>
      <c r="E11" s="54" t="n"/>
      <c r="F11" s="91" t="n"/>
      <c r="G11" s="92" t="n"/>
      <c r="H11" s="86">
        <f>IF(B11="CW",
M11,
J11+K11+L11+
IF(B11="SUPD",1000*75%,
IF(B11="DUPD",1500*75%,
IF(B11="SAD",1200*75%,
IF(B11="DAD",2000*75%,
IF(B11="ELAW",850*75%,
IF(B11="LAW",650*75%,
IF(B11="MAW",550*75%,
IF(B11="SAW",450*75%,
IF(B11="LPVC",450*75%,
IF(B11="MPVC",400*75%,
IF(B11="SPVC",350*75%,
IF(B11="SADLAW",2000*75%,
IF(B11="SADMAW",1900*75%,
IF(B11="SADSAW",1700*75%,0)))))))))))))))</f>
        <v/>
      </c>
      <c r="I11" s="88">
        <f>SUM(H11*F11)</f>
        <v/>
      </c>
    </row>
    <row r="12" customFormat="1" s="3">
      <c r="B12" s="4" t="n"/>
      <c r="C12" s="94" t="n"/>
      <c r="D12" s="90" t="n"/>
      <c r="E12" s="54" t="n"/>
      <c r="F12" s="91" t="n"/>
      <c r="G12" s="92" t="n"/>
      <c r="H12" s="86">
        <f>IF(B12="CW",
M12,
J12+K12+L12+
IF(B12="SUPD",1000*75%,
IF(B12="DUPD",1500*75%,
IF(B12="SAD",1200*75%,
IF(B12="DAD",2000*75%,
IF(B12="ELAW",850*75%,
IF(B12="LAW",650*75%,
IF(B12="MAW",550*75%,
IF(B12="SAW",450*75%,
IF(B12="LPVC",450*75%,
IF(B12="MPVC",400*75%,
IF(B12="SPVC",350*75%,
IF(B12="SADLAW",2000*75%,
IF(B12="SADMAW",1900*75%,
IF(B12="SADSAW",1700*75%,0)))))))))))))))</f>
        <v/>
      </c>
      <c r="I12" s="88">
        <f>SUM(H12*F12)</f>
        <v/>
      </c>
    </row>
    <row r="13" ht="30" customFormat="1" customHeight="1" s="3">
      <c r="B13" s="4" t="n"/>
      <c r="C13" s="95" t="n"/>
      <c r="D13" s="90" t="n"/>
      <c r="E13" s="54" t="n"/>
      <c r="F13" s="91" t="n"/>
      <c r="G13" s="92" t="n"/>
      <c r="H13" s="86">
        <f>IF(B13="CW",
M13,
J13+K13+L13+
IF(B13="SUPD",1000*75%,
IF(B13="DUPD",1500*75%,
IF(B13="SAD",1200*75%,
IF(B13="DAD",2000*75%,
IF(B13="ELAW",850*75%,
IF(B13="LAW",650*75%,
IF(B13="MAW",550*75%,
IF(B13="SAW",450*75%,
IF(B13="LPVC",450*75%,
IF(B13="MPVC",400*75%,
IF(B13="SPVC",350*75%,
IF(B13="SADLAW",2000*75%,
IF(B13="SADMAW",1900*75%,
IF(B13="SADSAW",1700*75%,0)))))))))))))))</f>
        <v/>
      </c>
      <c r="I13" s="88">
        <f>SUM(H13*F13)</f>
        <v/>
      </c>
    </row>
    <row r="14" ht="36" customFormat="1" customHeight="1" s="3">
      <c r="B14" s="4" t="n"/>
      <c r="C14" s="95" t="n"/>
      <c r="D14" s="90" t="n"/>
      <c r="E14" s="54" t="n"/>
      <c r="F14" s="96" t="n"/>
      <c r="G14" s="92" t="n"/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</row>
    <row r="15" customFormat="1" s="3">
      <c r="B15" s="4" t="n"/>
      <c r="C15" s="97" t="n"/>
      <c r="D15" s="90" t="n"/>
      <c r="E15" s="54" t="n"/>
      <c r="F15" s="96" t="n"/>
      <c r="G15" s="92" t="n"/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</row>
    <row r="16" customFormat="1" s="3">
      <c r="B16" s="4" t="n"/>
      <c r="C16" s="95" t="n"/>
      <c r="D16" s="90" t="n"/>
      <c r="E16" s="54" t="n"/>
      <c r="F16" s="96" t="n"/>
      <c r="G16" s="92" t="n"/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</row>
    <row r="17" customFormat="1" s="3">
      <c r="B17" s="4" t="n"/>
      <c r="C17" s="95" t="n"/>
      <c r="D17" s="90" t="n"/>
      <c r="E17" s="54" t="n"/>
      <c r="F17" s="96" t="n"/>
      <c r="G17" s="92" t="n"/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</row>
    <row r="18" customFormat="1" s="3">
      <c r="B18" s="4" t="n"/>
      <c r="C18" s="95" t="n"/>
      <c r="D18" s="90" t="n"/>
      <c r="E18" s="54" t="n"/>
      <c r="F18" s="96" t="n"/>
      <c r="G18" s="92" t="n"/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</row>
    <row r="19" customFormat="1" s="3">
      <c r="B19" s="4" t="n"/>
      <c r="C19" s="97" t="n"/>
      <c r="D19" s="90" t="n"/>
      <c r="E19" s="54" t="n"/>
      <c r="F19" s="96" t="n"/>
      <c r="G19" s="92" t="n"/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</row>
    <row r="20" ht="39.75" customFormat="1" customHeight="1" s="3" thickBot="1">
      <c r="B20" s="4" t="n"/>
      <c r="C20" s="98" t="n"/>
      <c r="D20" s="99" t="n"/>
      <c r="E20" s="63" t="n"/>
      <c r="F20" s="96" t="n"/>
      <c r="G20" s="92" t="n"/>
      <c r="H20" s="86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88">
        <f>SUM(H20*F20)</f>
        <v/>
      </c>
    </row>
    <row r="21" ht="15" customFormat="1" customHeight="1" s="3">
      <c r="C21" s="100" t="n"/>
      <c r="D21" s="101" t="n"/>
      <c r="E21" s="102" t="n"/>
      <c r="F21" s="102" t="n"/>
      <c r="G21" s="101" t="inlineStr">
        <is>
          <t>INSTALLATION</t>
        </is>
      </c>
      <c r="H21" s="103" t="n"/>
      <c r="I21" s="104" t="n">
        <v>320</v>
      </c>
    </row>
    <row r="22" ht="15" customFormat="1" customHeight="1" s="3">
      <c r="C22" s="105" t="n"/>
      <c r="D22" s="106" t="n"/>
      <c r="E22" s="107" t="n"/>
      <c r="F22" s="107" t="n"/>
      <c r="G22" s="107" t="n"/>
      <c r="H22" s="107" t="n"/>
      <c r="I22" s="108" t="n"/>
    </row>
    <row r="23" ht="13.8" customFormat="1" customHeight="1" s="3">
      <c r="C23" s="40" t="n"/>
      <c r="D23" s="30" t="n"/>
      <c r="E23" s="30" t="n"/>
      <c r="F23" s="107" t="n"/>
      <c r="G23" s="107" t="n"/>
      <c r="H23" s="107" t="inlineStr">
        <is>
          <t>TOTAL*</t>
        </is>
      </c>
      <c r="I23" s="109" t="n">
        <v>5990.22</v>
      </c>
    </row>
    <row r="24" customFormat="1" s="3" thickBot="1">
      <c r="C24" s="45" t="n"/>
      <c r="D24" s="32" t="n"/>
      <c r="E24" s="32" t="n"/>
      <c r="F24" s="110" t="n"/>
      <c r="G24" s="110" t="n"/>
      <c r="H24" s="110" t="n"/>
      <c r="I24" s="111" t="n"/>
    </row>
    <row r="25" ht="5.4" customFormat="1" customHeight="1" s="3" thickBot="1">
      <c r="C25" s="4" t="n"/>
      <c r="D25" s="4" t="n"/>
      <c r="E25" s="4" t="n"/>
      <c r="F25" s="4" t="n"/>
      <c r="G25" s="4" t="n"/>
      <c r="H25" s="4" t="n"/>
      <c r="I25" s="4" t="n"/>
    </row>
    <row r="26" ht="15.6" customFormat="1" customHeight="1" s="3">
      <c r="C26" s="36" t="n"/>
      <c r="D26" s="61" t="inlineStr">
        <is>
          <t>OPTIONAL</t>
        </is>
      </c>
      <c r="E26" s="37" t="n"/>
      <c r="F26" s="102" t="n"/>
      <c r="G26" s="102" t="n"/>
      <c r="H26" s="102" t="n"/>
      <c r="I26" s="112" t="n"/>
    </row>
    <row r="27" customFormat="1" s="3">
      <c r="C27" s="40" t="n"/>
      <c r="D27" s="41" t="n"/>
      <c r="E27" s="42" t="n"/>
      <c r="F27" s="113" t="inlineStr">
        <is>
          <t>EXTERNAL MASTIC</t>
        </is>
      </c>
      <c r="I27" s="108" t="n">
        <v>53.2</v>
      </c>
    </row>
    <row r="28" customFormat="1" s="3">
      <c r="C28" s="40" t="n"/>
      <c r="D28" s="41" t="n"/>
      <c r="E28" s="42" t="n"/>
      <c r="F28" s="113" t="inlineStr">
        <is>
          <t>EDPM</t>
        </is>
      </c>
      <c r="I28" s="108" t="n">
        <v>0</v>
      </c>
    </row>
    <row r="29" ht="18.6" customFormat="1" customHeight="1" s="3" thickBot="1">
      <c r="C29" s="45" t="n"/>
      <c r="D29" s="46" t="n"/>
      <c r="E29" s="46" t="n"/>
      <c r="F29" s="46" t="n"/>
      <c r="G29" s="46" t="n"/>
      <c r="H29" s="46" t="n"/>
      <c r="I29" s="47" t="n"/>
    </row>
    <row r="30">
      <c r="C30" s="24" t="inlineStr">
        <is>
          <t xml:space="preserve">* Total value excluding VAT. </t>
        </is>
      </c>
      <c r="D30" s="20" t="n"/>
      <c r="E30" s="20" t="n"/>
    </row>
    <row r="31">
      <c r="C31" s="25" t="inlineStr">
        <is>
          <t>** This pricing document should be read with Fenster Glazing &amp; Locks Ltd's Standard Terms and Conditions (issue 31.05.2026), a copy of which accompanies this document.</t>
        </is>
      </c>
      <c r="D31" s="20" t="n"/>
      <c r="E31" s="20" t="n"/>
    </row>
    <row r="32">
      <c r="C32" s="23" t="n"/>
      <c r="D32" s="20" t="n"/>
      <c r="E32" s="20" t="n"/>
    </row>
    <row r="33" ht="15" customHeight="1">
      <c r="C33" s="114" t="inlineStr">
        <is>
          <t>EXCLUSIONS - the following are NOT included in the price above</t>
        </is>
      </c>
    </row>
    <row r="34" ht="26" customHeight="1">
      <c r="C34" s="115" t="inlineStr">
        <is>
          <t>- Design responsibility - design calculations, structural calculations and engineer approvals, including any wind loading check and the structural design of fixings, unless specifically included within our scope</t>
        </is>
      </c>
    </row>
    <row r="35" ht="26" customHeight="1">
      <c r="C35" s="115" t="inlineStr">
        <is>
          <t>- Structural alterations - forming, enlarging or making good any structural opening, to be completed by the main contractor</t>
        </is>
      </c>
    </row>
    <row r="36" ht="26" customHeight="1">
      <c r="C36" s="116" t="inlineStr">
        <is>
          <t>- AOV control system - smoke control panel, mains and battery-backed supply, cabling, containment, fire-brigade override at ground floor access level, and commissioning</t>
        </is>
      </c>
    </row>
    <row r="37" ht="26" customHeight="1">
      <c r="C37" s="116" t="inlineStr">
        <is>
          <t>- Testing - on or off site testing of the completed smoke ventilation system</t>
        </is>
      </c>
    </row>
    <row r="38" ht="26" customHeight="1">
      <c r="C38" s="116" t="inlineStr">
        <is>
          <t>- Anti-fall protection to Part K, where the vent cill sits below 1100mm from finished floor level, and any preventative measures for trap hazard below 2.5m</t>
        </is>
      </c>
    </row>
    <row r="39" ht="26" customHeight="1">
      <c r="C39" s="116" t="inlineStr">
        <is>
          <t>- Access and lifting equipment - scaffold, MEWPs, towers, forklift and the like</t>
        </is>
      </c>
    </row>
    <row r="40" ht="26" customHeight="1">
      <c r="C40" s="116" t="inlineStr">
        <is>
          <t>- Site storage - materials will be delivered to site</t>
        </is>
      </c>
    </row>
    <row r="41" ht="26" customHeight="1">
      <c r="C41" s="116" t="inlineStr">
        <is>
          <t>- Site welfare - welfare facilities, power, water, lighting</t>
        </is>
      </c>
    </row>
    <row r="42" ht="26" customHeight="1">
      <c r="C42" s="116" t="inlineStr">
        <is>
          <t>- Waste removal, internal finishing, fire stopping and final clean</t>
        </is>
      </c>
    </row>
    <row r="43" ht="26" customHeight="1">
      <c r="C43" s="116" t="inlineStr">
        <is>
          <t>- Traffic management - road closures, street licences, parking suspensions</t>
        </is>
      </c>
    </row>
    <row r="44" ht="26" customHeight="1">
      <c r="C44" s="116" t="inlineStr">
        <is>
          <t>- Dimensions provided by others are assumed to be accurate. Any additional costs arising from incorrect dimensions will be treated as a variation and charged accordingly</t>
        </is>
      </c>
    </row>
    <row r="45" ht="26" customHeight="1">
      <c r="C45" s="116" t="inlineStr">
        <is>
          <t>- The free area stated is GEOMETRIC. No aerodynamic figure has been provided by the manufacturer and none is warranted by this quotation</t>
        </is>
      </c>
    </row>
  </sheetData>
  <mergeCells count="30">
    <mergeCell ref="C36:I36"/>
    <mergeCell ref="G21:H21"/>
    <mergeCell ref="C15:D15"/>
    <mergeCell ref="C39:I39"/>
    <mergeCell ref="C14:D14"/>
    <mergeCell ref="C38:I38"/>
    <mergeCell ref="C37:I37"/>
    <mergeCell ref="C20:D20"/>
    <mergeCell ref="F28:H28"/>
    <mergeCell ref="C16:D16"/>
    <mergeCell ref="C10:D10"/>
    <mergeCell ref="F27:H27"/>
    <mergeCell ref="C34:I34"/>
    <mergeCell ref="C42:I42"/>
    <mergeCell ref="C9:D9"/>
    <mergeCell ref="C33:I33"/>
    <mergeCell ref="C45:I45"/>
    <mergeCell ref="C12:D12"/>
    <mergeCell ref="C11:D11"/>
    <mergeCell ref="C35:I35"/>
    <mergeCell ref="C17:D17"/>
    <mergeCell ref="C41:I41"/>
    <mergeCell ref="C8:D8"/>
    <mergeCell ref="C44:I44"/>
    <mergeCell ref="C40:I40"/>
    <mergeCell ref="C7:D7"/>
    <mergeCell ref="C19:D19"/>
    <mergeCell ref="C43:I43"/>
    <mergeCell ref="C13:D13"/>
    <mergeCell ref="C18:D1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Fenster Glazing &amp; Locks Ltd</dc:creator>
  <dc:title xmlns:dc="http://purl.org/dc/elements/1.1/">Riverside House - AOV Smoke Vents - Pricing Document</dc:title>
  <dcterms:created xmlns:dcterms="http://purl.org/dc/terms/" xmlns:xsi="http://www.w3.org/2001/XMLSchema-instance" xsi:type="dcterms:W3CDTF">2026-07-28T03:53:12Z</dcterms:created>
  <dcterms:modified xmlns:dcterms="http://purl.org/dc/terms/" xmlns:xsi="http://www.w3.org/2001/XMLSchema-instance" xsi:type="dcterms:W3CDTF">2026-07-28T04:06:41Z</dcterms:modified>
  <cp:lastModifiedBy>Fenster Glazing &amp; Locks Ltd</cp:lastModifiedBy>
  <cp:category>Quotation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0x010100BBE029A084523C4C9690FE69933833E4</vt:lpwstr>
  </property>
  <property name="MediaServiceImageTags" fmtid="{D5CDD505-2E9C-101B-9397-08002B2CF9AE}" pid="3">
    <vt:lpwstr xmlns:vt="http://schemas.openxmlformats.org/officeDocument/2006/docPropsVTypes"/>
  </property>
</Properties>
</file>