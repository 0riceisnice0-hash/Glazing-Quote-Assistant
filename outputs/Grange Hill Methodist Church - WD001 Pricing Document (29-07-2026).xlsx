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3896" tabRatio="965" firstSheet="0" activeTab="0" autoFilterDateGrouping="1"/>
  </bookViews>
  <sheets>
    <sheet xmlns:r="http://schemas.openxmlformats.org/officeDocument/2006/relationships" name="Pricing Document " sheetId="1" state="visible" r:id="rId1"/>
  </sheets>
  <definedNames>
    <definedName name="Access_Control">'[1]Item Budgets'!$B$156:$B$167</definedName>
    <definedName name="Audio_Visual">'[1]Item Budgets'!$B$167:$B$178</definedName>
    <definedName name="Beam">#REF!</definedName>
    <definedName name="Beams">#REF!</definedName>
    <definedName name="BeamTon">#REF!</definedName>
    <definedName name="Channel">#REF!</definedName>
    <definedName name="Channels">#REF!</definedName>
    <definedName name="ChannelTon">#REF!</definedName>
    <definedName name="CHSs">#REF!</definedName>
    <definedName name="Column">#REF!</definedName>
    <definedName name="Columns">#REF!</definedName>
    <definedName name="ColumnTon">#REF!</definedName>
    <definedName name="CONTAINMENT">'[1]Item Budgets'!$B$95:$B$111</definedName>
    <definedName name="DISTRIBUTION">'[1]Item Budgets'!$B$123:$B$134</definedName>
    <definedName name="EMERGENCY_LIGHTING">'[1]Item Budgets'!$B$23:$B$34</definedName>
    <definedName name="Equal">#REF!</definedName>
    <definedName name="EqualTon">#REF!</definedName>
    <definedName name="FIRE_ALARM">'[1]Item Budgets'!$B$112:$B$123</definedName>
    <definedName name="Heating_Interface">'[1]Item Budgets'!$B$178:$B$189</definedName>
    <definedName name="Lighting">'[1]Item Budgets'!$B$4:$B$23</definedName>
    <definedName name="LIGHTING_CONTROL">'[1]Item Budgets'!$B$34:$B$45</definedName>
    <definedName name="LIST">[1]Containment!#REF!</definedName>
    <definedName name="List1">#REF!</definedName>
    <definedName name="List2">#REF!</definedName>
    <definedName name="List3">#REF!</definedName>
    <definedName name="Mechanical_Supplies">'[1]Item Budgets'!$B$134:$B$145</definedName>
    <definedName name="MISCELLANEOUS">'[1]Item Budgets'!$B$189:$B$207</definedName>
    <definedName name="PCFTon">#REF!</definedName>
    <definedName name="PFC">#REF!</definedName>
    <definedName name="PFCs">#REF!</definedName>
    <definedName name="PFCTon">#REF!</definedName>
    <definedName name="PRELIMS">'[1]Item Budgets'!$B$207:$B$216</definedName>
    <definedName name="RHS">#REF!</definedName>
    <definedName name="RHSs">#REF!</definedName>
    <definedName name="RHSTon">#REF!</definedName>
    <definedName name="RSJ">#REF!</definedName>
    <definedName name="RSJs">#REF!</definedName>
    <definedName name="RSJTon">#REF!</definedName>
    <definedName name="SHS">#REF!</definedName>
    <definedName name="SHSs">#REF!</definedName>
    <definedName name="SHSsTon">#REF!</definedName>
    <definedName name="SHSTon">#REF!</definedName>
    <definedName name="Site_Temporaries">'[1]Item Budgets'!$B$217:$B$228</definedName>
    <definedName name="SMALL_POWER">'[1]Item Budgets'!$B$45:$B$95</definedName>
    <definedName name="Steels">#REF!</definedName>
    <definedName name="Type">#REF!,#REF!,#REF!,#REF!,#REF!,#REF!,#REF!,#REF!,#REF!</definedName>
    <definedName name="Types">'[2]Type List'!$A$2:$A$8</definedName>
    <definedName name="Unequal">#REF!</definedName>
    <definedName name="UnequalTon">#REF!</definedName>
    <definedName name="Ventilation">'[1]Item Budgets'!$B$145:$B$156</definedName>
    <definedName name="_xlnm.Print_Titles" localSheetId="0">'Pricing Document '!$2:$7</definedName>
    <definedName name="_xlnm.Print_Area" localSheetId="0">'Pricing Document '!$C$1:$I$45</definedName>
  </definedNames>
  <calcPr calcId="191029" fullCalcOnLoad="1"/>
</workbook>
</file>

<file path=xl/styles.xml><?xml version="1.0" encoding="utf-8"?>
<styleSheet xmlns="http://schemas.openxmlformats.org/spreadsheetml/2006/main">
  <numFmts count="4">
    <numFmt numFmtId="164" formatCode="_-* #,##0.00_-;\-* #,##0.00_-;_-* &quot;-&quot;??_-;_-@_-"/>
    <numFmt numFmtId="165" formatCode="&quot;£&quot;#,##0.00;[Red]\-&quot;£&quot;#,##0.00"/>
    <numFmt numFmtId="166" formatCode="_-&quot;£&quot;* #,##0.00_-;\-&quot;£&quot;* #,##0.00_-;_-&quot;£&quot;* &quot;-&quot;??_-;_-@_-"/>
    <numFmt numFmtId="167" formatCode="General_)"/>
  </numFmts>
  <fonts count="20">
    <font>
      <name val="Calibri"/>
      <family val="2"/>
      <color theme="1"/>
      <sz val="11"/>
      <scheme val="minor"/>
    </font>
    <font>
      <name val="Calibri"/>
      <family val="2"/>
      <color theme="1"/>
      <sz val="11"/>
      <scheme val="minor"/>
    </font>
    <font>
      <name val="Gill Sans"/>
      <family val="2"/>
      <sz val="10"/>
    </font>
    <font>
      <name val="Courier"/>
      <family val="3"/>
      <sz val="10"/>
    </font>
    <font>
      <name val="Arial"/>
      <family val="2"/>
      <sz val="10"/>
    </font>
    <font>
      <name val="Times New Roman"/>
      <family val="1"/>
      <color rgb="FF000000"/>
      <sz val="10"/>
    </font>
    <font>
      <name val="Times New Roman"/>
      <family val="1"/>
      <color theme="10"/>
      <sz val="10"/>
      <u val="single"/>
    </font>
    <font>
      <name val="Aptos"/>
      <family val="2"/>
      <sz val="10"/>
    </font>
    <font>
      <name val="Aptos"/>
      <family val="2"/>
      <sz val="14"/>
    </font>
    <font>
      <name val="Aptos"/>
      <family val="2"/>
      <b val="1"/>
      <color theme="0"/>
      <sz val="12"/>
    </font>
    <font>
      <name val="Aptos"/>
      <family val="2"/>
      <b val="1"/>
      <sz val="10"/>
    </font>
    <font>
      <name val="Aptos"/>
      <family val="2"/>
      <color theme="1"/>
      <sz val="11"/>
    </font>
    <font>
      <name val="Aptos"/>
      <family val="2"/>
      <b val="1"/>
      <color theme="1"/>
      <sz val="18"/>
    </font>
    <font>
      <name val="Aptos"/>
      <family val="2"/>
      <b val="1"/>
      <i val="1"/>
      <color theme="1"/>
      <sz val="11"/>
    </font>
    <font>
      <name val="Aptos"/>
      <family val="2"/>
      <i val="1"/>
      <color theme="1"/>
      <sz val="11"/>
    </font>
    <font>
      <name val="Aptos"/>
      <family val="2"/>
      <b val="1"/>
      <sz val="11"/>
    </font>
    <font>
      <name val="Aptos"/>
      <family val="2"/>
      <b val="1"/>
      <sz val="12"/>
    </font>
    <font>
      <name val="Gill Sans"/>
      <b val="1"/>
      <sz val="10"/>
    </font>
    <font>
      <name val="Aptos"/>
      <sz val="10"/>
    </font>
    <font>
      <b val="1"/>
    </font>
  </fonts>
  <fills count="4">
    <fill>
      <patternFill/>
    </fill>
    <fill>
      <patternFill patternType="gray125"/>
    </fill>
    <fill>
      <patternFill patternType="solid">
        <fgColor theme="0"/>
        <bgColor indexed="64"/>
      </patternFill>
    </fill>
    <fill>
      <patternFill patternType="solid">
        <fgColor rgb="FF002D3A"/>
        <bgColor indexed="64"/>
      </patternFill>
    </fill>
  </fills>
  <borders count="36">
    <border>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hair">
        <color auto="1"/>
      </top>
      <bottom style="hair">
        <color auto="1"/>
      </bottom>
      <diagonal/>
    </border>
    <border>
      <left/>
      <right/>
      <top style="thin">
        <color auto="1"/>
      </top>
      <bottom/>
      <diagonal/>
    </border>
    <border>
      <left style="thin">
        <color indexed="64"/>
      </left>
      <right/>
      <top style="medium">
        <color indexed="64"/>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indexed="64"/>
      </bottom>
      <diagonal/>
    </border>
    <border>
      <left style="medium">
        <color indexed="64"/>
      </left>
      <right/>
      <top style="medium">
        <color indexed="64"/>
      </top>
      <bottom style="hair">
        <color indexed="64"/>
      </bottom>
      <diagonal/>
    </border>
    <border>
      <left/>
      <right style="thin">
        <color indexed="64"/>
      </right>
      <top style="medium">
        <color indexed="64"/>
      </top>
      <bottom style="hair">
        <color indexed="64"/>
      </bottom>
      <diagonal/>
    </border>
    <border>
      <left style="medium">
        <color indexed="64"/>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right/>
      <top style="hair">
        <color indexed="64"/>
      </top>
      <bottom/>
      <diagonal/>
    </border>
    <border>
      <left/>
      <right style="thin">
        <color indexed="64"/>
      </right>
      <top style="hair">
        <color indexed="64"/>
      </top>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hair">
        <color indexed="64"/>
      </bottom>
      <diagonal/>
    </border>
  </borders>
  <cellStyleXfs count="10">
    <xf numFmtId="0" fontId="1" fillId="0" borderId="0"/>
    <xf numFmtId="43" fontId="1" fillId="0" borderId="0"/>
    <xf numFmtId="167" fontId="3" fillId="0" borderId="0"/>
    <xf numFmtId="0" fontId="5" fillId="0" borderId="0"/>
    <xf numFmtId="44" fontId="5" fillId="0" borderId="0"/>
    <xf numFmtId="0" fontId="6" fillId="0" borderId="0"/>
    <xf numFmtId="0" fontId="4" fillId="0" borderId="0"/>
    <xf numFmtId="44" fontId="1" fillId="0" borderId="0"/>
    <xf numFmtId="43" fontId="1" fillId="0" borderId="0"/>
    <xf numFmtId="44" fontId="1" fillId="0" borderId="0"/>
  </cellStyleXfs>
  <cellXfs count="117">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vertical="center"/>
    </xf>
    <xf numFmtId="0" fontId="2" fillId="0" borderId="0" pivotButton="0" quotePrefix="0" xfId="0"/>
    <xf numFmtId="0" fontId="7" fillId="0" borderId="0" pivotButton="0" quotePrefix="0" xfId="0"/>
    <xf numFmtId="0" fontId="8" fillId="0" borderId="0" pivotButton="0" quotePrefix="0" xfId="0"/>
    <xf numFmtId="2" fontId="9" fillId="3" borderId="9" applyAlignment="1" pivotButton="0" quotePrefix="0" xfId="0">
      <alignment vertical="center"/>
    </xf>
    <xf numFmtId="2" fontId="9" fillId="3" borderId="16" applyAlignment="1" pivotButton="0" quotePrefix="0" xfId="0">
      <alignment vertical="center"/>
    </xf>
    <xf numFmtId="2" fontId="9" fillId="3" borderId="8" applyAlignment="1" pivotButton="0" quotePrefix="0" xfId="0">
      <alignment vertical="center"/>
    </xf>
    <xf numFmtId="0" fontId="9" fillId="3" borderId="3" applyAlignment="1" pivotButton="0" quotePrefix="0" xfId="0">
      <alignment vertical="center"/>
    </xf>
    <xf numFmtId="0" fontId="9" fillId="3" borderId="0" applyAlignment="1" pivotButton="0" quotePrefix="0" xfId="0">
      <alignment vertical="center"/>
    </xf>
    <xf numFmtId="0" fontId="9" fillId="3" borderId="4" applyAlignment="1" pivotButton="0" quotePrefix="0" xfId="0">
      <alignment vertical="center"/>
    </xf>
    <xf numFmtId="14" fontId="9" fillId="3" borderId="0" applyAlignment="1" pivotButton="0" quotePrefix="0" xfId="0">
      <alignment horizontal="left" vertical="center"/>
    </xf>
    <xf numFmtId="0" fontId="10" fillId="0" borderId="13" applyAlignment="1" pivotButton="0" quotePrefix="0" xfId="0">
      <alignment horizontal="left" wrapText="1" indent="2"/>
    </xf>
    <xf numFmtId="164" fontId="7" fillId="0" borderId="13" applyAlignment="1" pivotButton="0" quotePrefix="0" xfId="1">
      <alignment horizontal="left" vertical="center" wrapText="1" indent="1"/>
    </xf>
    <xf numFmtId="164" fontId="7" fillId="0" borderId="13" applyAlignment="1" pivotButton="0" quotePrefix="0" xfId="1">
      <alignment horizontal="left" wrapText="1"/>
    </xf>
    <xf numFmtId="164" fontId="7" fillId="0" borderId="13" applyAlignment="1" pivotButton="0" quotePrefix="0" xfId="1">
      <alignment horizontal="left" wrapText="1"/>
    </xf>
    <xf numFmtId="164" fontId="7" fillId="0" borderId="15" applyAlignment="1" pivotButton="0" quotePrefix="0" xfId="1">
      <alignment horizontal="right" vertical="center"/>
    </xf>
    <xf numFmtId="165" fontId="7" fillId="0" borderId="11" applyAlignment="1" pivotButton="0" quotePrefix="0" xfId="0">
      <alignment horizontal="center" vertical="center"/>
    </xf>
    <xf numFmtId="164" fontId="7" fillId="0" borderId="13" applyAlignment="1" pivotButton="0" quotePrefix="0" xfId="1">
      <alignment horizontal="left" vertical="center" wrapText="1" indent="1"/>
    </xf>
    <xf numFmtId="0" fontId="11" fillId="0" borderId="0" applyAlignment="1" pivotButton="0" quotePrefix="0" xfId="0">
      <alignment vertical="center"/>
    </xf>
    <xf numFmtId="0" fontId="11" fillId="0" borderId="0" pivotButton="0" quotePrefix="0" xfId="0"/>
    <xf numFmtId="9" fontId="11" fillId="0" borderId="0" pivotButton="0" quotePrefix="0" xfId="0"/>
    <xf numFmtId="0" fontId="11" fillId="0" borderId="0" applyAlignment="1" pivotButton="0" quotePrefix="0" xfId="0">
      <alignment horizontal="center" vertical="center"/>
    </xf>
    <xf numFmtId="0" fontId="13" fillId="0" borderId="0" pivotButton="0" quotePrefix="0" xfId="0"/>
    <xf numFmtId="0" fontId="14" fillId="0" borderId="0" pivotButton="0" quotePrefix="0" xfId="0"/>
    <xf numFmtId="0" fontId="12" fillId="2" borderId="18" applyAlignment="1" pivotButton="0" quotePrefix="0" xfId="0">
      <alignment horizontal="left" vertical="center"/>
    </xf>
    <xf numFmtId="0" fontId="12" fillId="2" borderId="19" applyAlignment="1" pivotButton="0" quotePrefix="0" xfId="0">
      <alignment horizontal="left" vertical="center"/>
    </xf>
    <xf numFmtId="0" fontId="12" fillId="2" borderId="19" applyAlignment="1" pivotButton="0" quotePrefix="0" xfId="0">
      <alignment vertical="top"/>
    </xf>
    <xf numFmtId="0" fontId="12" fillId="2" borderId="20" applyAlignment="1" pivotButton="0" quotePrefix="0" xfId="0">
      <alignment vertical="top"/>
    </xf>
    <xf numFmtId="0" fontId="10" fillId="2" borderId="0" applyAlignment="1" pivotButton="0" quotePrefix="0" xfId="0">
      <alignment horizontal="left" wrapText="1"/>
    </xf>
    <xf numFmtId="166" fontId="10" fillId="2" borderId="4" applyAlignment="1" pivotButton="0" quotePrefix="0" xfId="9">
      <alignment horizontal="right"/>
    </xf>
    <xf numFmtId="0" fontId="10" fillId="2" borderId="6" applyAlignment="1" pivotButton="0" quotePrefix="0" xfId="0">
      <alignment horizontal="left" wrapText="1"/>
    </xf>
    <xf numFmtId="164" fontId="10" fillId="2" borderId="7" applyAlignment="1" pivotButton="0" quotePrefix="0" xfId="1">
      <alignment horizontal="right"/>
    </xf>
    <xf numFmtId="167" fontId="10" fillId="2" borderId="17" applyAlignment="1" pivotButton="0" quotePrefix="0" xfId="2">
      <alignment horizontal="center" vertical="center"/>
    </xf>
    <xf numFmtId="4" fontId="10" fillId="2" borderId="14" applyAlignment="1" pivotButton="0" quotePrefix="0" xfId="2">
      <alignment horizontal="center" vertical="center"/>
    </xf>
    <xf numFmtId="0" fontId="10" fillId="2" borderId="10" pivotButton="0" quotePrefix="0" xfId="0"/>
    <xf numFmtId="0" fontId="10" fillId="2" borderId="1" applyAlignment="1" pivotButton="0" quotePrefix="0" xfId="0">
      <alignment horizontal="left" wrapText="1"/>
    </xf>
    <xf numFmtId="164" fontId="10" fillId="2" borderId="1" pivotButton="0" quotePrefix="0" xfId="1"/>
    <xf numFmtId="164" fontId="10" fillId="2" borderId="2" applyAlignment="1" pivotButton="0" quotePrefix="0" xfId="1">
      <alignment horizontal="right"/>
    </xf>
    <xf numFmtId="0" fontId="10" fillId="2" borderId="3" pivotButton="0" quotePrefix="0" xfId="0"/>
    <xf numFmtId="0" fontId="15" fillId="2" borderId="0" applyAlignment="1" pivotButton="0" quotePrefix="0" xfId="0">
      <alignment horizontal="center"/>
    </xf>
    <xf numFmtId="0" fontId="10" fillId="2" borderId="0" pivotButton="0" quotePrefix="0" xfId="0"/>
    <xf numFmtId="164" fontId="10" fillId="2" borderId="0" pivotButton="0" quotePrefix="0" xfId="1"/>
    <xf numFmtId="166" fontId="10" fillId="2" borderId="4" pivotButton="0" quotePrefix="0" xfId="9"/>
    <xf numFmtId="0" fontId="10" fillId="2" borderId="5" pivotButton="0" quotePrefix="0" xfId="0"/>
    <xf numFmtId="0" fontId="10" fillId="2" borderId="6" pivotButton="0" quotePrefix="0" xfId="0"/>
    <xf numFmtId="0" fontId="10" fillId="2" borderId="7" pivotButton="0" quotePrefix="0" xfId="0"/>
    <xf numFmtId="164" fontId="10" fillId="2" borderId="10" pivotButton="0" quotePrefix="0" xfId="1"/>
    <xf numFmtId="164" fontId="10" fillId="2" borderId="1" applyAlignment="1" pivotButton="0" quotePrefix="0" xfId="1">
      <alignment horizontal="center"/>
    </xf>
    <xf numFmtId="166" fontId="10" fillId="2" borderId="2" pivotButton="0" quotePrefix="0" xfId="9"/>
    <xf numFmtId="164" fontId="10" fillId="2" borderId="3" pivotButton="0" quotePrefix="0" xfId="1"/>
    <xf numFmtId="166" fontId="10" fillId="2" borderId="4" pivotButton="0" quotePrefix="0" xfId="9"/>
    <xf numFmtId="164" fontId="10" fillId="2" borderId="6" pivotButton="0" quotePrefix="0" xfId="1"/>
    <xf numFmtId="0" fontId="0" fillId="0" borderId="12" applyAlignment="1" pivotButton="0" quotePrefix="0" xfId="0">
      <alignment horizontal="center"/>
    </xf>
    <xf numFmtId="166" fontId="2" fillId="0" borderId="0" pivotButton="0" quotePrefix="0" xfId="9"/>
    <xf numFmtId="166" fontId="11" fillId="0" borderId="0" pivotButton="0" quotePrefix="0" xfId="9"/>
    <xf numFmtId="2" fontId="11" fillId="0" borderId="0" pivotButton="0" quotePrefix="0" xfId="0"/>
    <xf numFmtId="164" fontId="2" fillId="0" borderId="11" applyAlignment="1" pivotButton="0" quotePrefix="0" xfId="1">
      <alignment horizontal="center" vertical="center"/>
    </xf>
    <xf numFmtId="164" fontId="2" fillId="0" borderId="11" applyAlignment="1" pivotButton="0" quotePrefix="0" xfId="1">
      <alignment horizontal="right" vertical="center"/>
    </xf>
    <xf numFmtId="164" fontId="10" fillId="2" borderId="0" applyAlignment="1" pivotButton="0" quotePrefix="0" xfId="1">
      <alignment horizontal="center"/>
    </xf>
    <xf numFmtId="0" fontId="16" fillId="2" borderId="1" applyAlignment="1" pivotButton="0" quotePrefix="0" xfId="0">
      <alignment horizontal="left" vertical="center" wrapText="1"/>
    </xf>
    <xf numFmtId="0" fontId="17" fillId="0" borderId="0" applyAlignment="1" pivotButton="0" quotePrefix="0" xfId="0">
      <alignment wrapText="1"/>
    </xf>
    <xf numFmtId="0" fontId="0" fillId="0" borderId="12" applyAlignment="1" pivotButton="0" quotePrefix="0" xfId="0">
      <alignment horizontal="center" vertical="center"/>
    </xf>
    <xf numFmtId="0" fontId="7" fillId="0" borderId="23" applyAlignment="1" pivotButton="0" quotePrefix="1" xfId="0">
      <alignment horizontal="center" vertical="center" wrapText="1"/>
    </xf>
    <xf numFmtId="0" fontId="7" fillId="0" borderId="24" applyAlignment="1" pivotButton="0" quotePrefix="1" xfId="0">
      <alignment horizontal="center" vertical="center" wrapText="1"/>
    </xf>
    <xf numFmtId="167" fontId="10" fillId="2" borderId="25" applyAlignment="1" pivotButton="0" quotePrefix="0" xfId="2">
      <alignment horizontal="center" vertical="center"/>
    </xf>
    <xf numFmtId="167" fontId="10" fillId="2" borderId="26" applyAlignment="1" pivotButton="0" quotePrefix="0" xfId="2">
      <alignment horizontal="center" vertical="center"/>
    </xf>
    <xf numFmtId="0" fontId="10" fillId="0" borderId="21" applyAlignment="1" pivotButton="0" quotePrefix="0" xfId="0">
      <alignment horizontal="center" vertical="center" wrapText="1"/>
    </xf>
    <xf numFmtId="0" fontId="10" fillId="0" borderId="22" applyAlignment="1" pivotButton="0" quotePrefix="0" xfId="0">
      <alignment horizontal="center" vertical="center" wrapText="1"/>
    </xf>
    <xf numFmtId="0" fontId="7" fillId="0" borderId="23" applyAlignment="1" pivotButton="0" quotePrefix="1" xfId="0">
      <alignment horizontal="center" vertical="center"/>
    </xf>
    <xf numFmtId="0" fontId="7" fillId="0" borderId="24" applyAlignment="1" pivotButton="0" quotePrefix="1" xfId="0">
      <alignment horizontal="center" vertical="center"/>
    </xf>
    <xf numFmtId="0" fontId="10" fillId="0" borderId="23" applyAlignment="1" pivotButton="0" quotePrefix="1" xfId="0">
      <alignment horizontal="center" vertical="center" wrapText="1"/>
    </xf>
    <xf numFmtId="0" fontId="10" fillId="0" borderId="24" applyAlignment="1" pivotButton="0" quotePrefix="1" xfId="0">
      <alignment horizontal="center" vertical="center" wrapText="1"/>
    </xf>
    <xf numFmtId="164" fontId="10" fillId="2" borderId="0" applyAlignment="1" pivotButton="0" quotePrefix="0" xfId="1">
      <alignment horizontal="right"/>
    </xf>
    <xf numFmtId="164" fontId="10" fillId="2" borderId="1" applyAlignment="1" pivotButton="0" quotePrefix="0" xfId="1">
      <alignment horizontal="center"/>
    </xf>
    <xf numFmtId="0" fontId="7" fillId="0" borderId="27" applyAlignment="1" pivotButton="0" quotePrefix="1" xfId="0">
      <alignment horizontal="center" vertical="center" wrapText="1"/>
    </xf>
    <xf numFmtId="0" fontId="7" fillId="0" borderId="28" applyAlignment="1" pivotButton="0" quotePrefix="1" xfId="0">
      <alignment horizontal="center" vertical="center" wrapText="1"/>
    </xf>
    <xf numFmtId="0" fontId="18" fillId="0" borderId="24" applyAlignment="1" pivotButton="0" quotePrefix="1" xfId="0">
      <alignment horizontal="center" vertical="center"/>
    </xf>
    <xf numFmtId="0" fontId="18" fillId="0" borderId="23" applyAlignment="1" pivotButton="0" quotePrefix="1" xfId="0">
      <alignment horizontal="center" vertical="center"/>
    </xf>
    <xf numFmtId="166" fontId="11" fillId="0" borderId="0" pivotButton="0" quotePrefix="0" xfId="9"/>
    <xf numFmtId="167" fontId="10" fillId="2" borderId="33" applyAlignment="1" pivotButton="0" quotePrefix="0" xfId="2">
      <alignment horizontal="center" vertical="center"/>
    </xf>
    <xf numFmtId="0" fontId="0" fillId="0" borderId="26" pivotButton="0" quotePrefix="0" xfId="0"/>
    <xf numFmtId="167" fontId="10" fillId="2" borderId="17" applyAlignment="1" pivotButton="0" quotePrefix="0" xfId="2">
      <alignment horizontal="center" vertical="center"/>
    </xf>
    <xf numFmtId="0" fontId="10" fillId="0" borderId="35" applyAlignment="1" pivotButton="0" quotePrefix="0" xfId="0">
      <alignment horizontal="center" vertical="center" wrapText="1"/>
    </xf>
    <xf numFmtId="0" fontId="0" fillId="0" borderId="22" pivotButton="0" quotePrefix="0" xfId="0"/>
    <xf numFmtId="164" fontId="7" fillId="0" borderId="13" applyAlignment="1" pivotButton="0" quotePrefix="0" xfId="1">
      <alignment horizontal="left" vertical="center" wrapText="1" indent="1"/>
    </xf>
    <xf numFmtId="164" fontId="7" fillId="0" borderId="13" applyAlignment="1" pivotButton="0" quotePrefix="0" xfId="1">
      <alignment horizontal="left" wrapText="1"/>
    </xf>
    <xf numFmtId="164" fontId="7" fillId="0" borderId="15" applyAlignment="1" pivotButton="0" quotePrefix="0" xfId="1">
      <alignment horizontal="right" vertical="center"/>
    </xf>
    <xf numFmtId="0" fontId="18" fillId="0" borderId="32" applyAlignment="1" pivotButton="0" quotePrefix="1" xfId="0">
      <alignment horizontal="center" vertical="top" wrapText="1"/>
    </xf>
    <xf numFmtId="0" fontId="0" fillId="0" borderId="24" pivotButton="0" quotePrefix="0" xfId="0"/>
    <xf numFmtId="164" fontId="2" fillId="0" borderId="11" applyAlignment="1" pivotButton="0" quotePrefix="0" xfId="1">
      <alignment horizontal="center" vertical="center"/>
    </xf>
    <xf numFmtId="165" fontId="7" fillId="0" borderId="11" applyAlignment="1" pivotButton="0" quotePrefix="0" xfId="0">
      <alignment horizontal="center" vertical="center"/>
    </xf>
    <xf numFmtId="166" fontId="2" fillId="0" borderId="0" pivotButton="0" quotePrefix="0" xfId="9"/>
    <xf numFmtId="0" fontId="7" fillId="0" borderId="32" applyAlignment="1" pivotButton="0" quotePrefix="1" xfId="0">
      <alignment horizontal="center" vertical="top" wrapText="1"/>
    </xf>
    <xf numFmtId="0" fontId="7" fillId="0" borderId="32" applyAlignment="1" pivotButton="0" quotePrefix="1" xfId="0">
      <alignment horizontal="center" vertical="center" wrapText="1"/>
    </xf>
    <xf numFmtId="164" fontId="2" fillId="0" borderId="11" applyAlignment="1" pivotButton="0" quotePrefix="0" xfId="1">
      <alignment horizontal="right" vertical="center"/>
    </xf>
    <xf numFmtId="0" fontId="10" fillId="0" borderId="32" applyAlignment="1" pivotButton="0" quotePrefix="1" xfId="0">
      <alignment horizontal="center" vertical="center" wrapText="1"/>
    </xf>
    <xf numFmtId="0" fontId="7" fillId="0" borderId="29" applyAlignment="1" pivotButton="0" quotePrefix="1" xfId="0">
      <alignment horizontal="center" vertical="center" wrapText="1"/>
    </xf>
    <xf numFmtId="0" fontId="0" fillId="0" borderId="28" pivotButton="0" quotePrefix="0" xfId="0"/>
    <xf numFmtId="164" fontId="10" fillId="2" borderId="10" pivotButton="0" quotePrefix="0" xfId="1"/>
    <xf numFmtId="164" fontId="10" fillId="2" borderId="1" applyAlignment="1" pivotButton="0" quotePrefix="0" xfId="1">
      <alignment horizontal="center"/>
    </xf>
    <xf numFmtId="164" fontId="10" fillId="2" borderId="1" pivotButton="0" quotePrefix="0" xfId="1"/>
    <xf numFmtId="0" fontId="0" fillId="0" borderId="1" pivotButton="0" quotePrefix="0" xfId="0"/>
    <xf numFmtId="166" fontId="10" fillId="2" borderId="2" pivotButton="0" quotePrefix="0" xfId="9"/>
    <xf numFmtId="164" fontId="10" fillId="2" borderId="3" pivotButton="0" quotePrefix="0" xfId="1"/>
    <xf numFmtId="164" fontId="10" fillId="2" borderId="0" applyAlignment="1" pivotButton="0" quotePrefix="0" xfId="1">
      <alignment horizontal="center"/>
    </xf>
    <xf numFmtId="164" fontId="10" fillId="2" borderId="0" pivotButton="0" quotePrefix="0" xfId="1"/>
    <xf numFmtId="166" fontId="10" fillId="2" borderId="4" pivotButton="0" quotePrefix="0" xfId="9"/>
    <xf numFmtId="166" fontId="10" fillId="2" borderId="4" applyAlignment="1" pivotButton="0" quotePrefix="0" xfId="9">
      <alignment horizontal="right"/>
    </xf>
    <xf numFmtId="164" fontId="10" fillId="2" borderId="6" pivotButton="0" quotePrefix="0" xfId="1"/>
    <xf numFmtId="164" fontId="10" fillId="2" borderId="7" applyAlignment="1" pivotButton="0" quotePrefix="0" xfId="1">
      <alignment horizontal="right"/>
    </xf>
    <xf numFmtId="164" fontId="10" fillId="2" borderId="2" applyAlignment="1" pivotButton="0" quotePrefix="0" xfId="1">
      <alignment horizontal="right"/>
    </xf>
    <xf numFmtId="164" fontId="10" fillId="2" borderId="0" applyAlignment="1" pivotButton="0" quotePrefix="0" xfId="1">
      <alignment horizontal="right"/>
    </xf>
    <xf numFmtId="0" fontId="19" fillId="0" borderId="0" applyAlignment="1" pivotButton="0" quotePrefix="0" xfId="0">
      <alignment horizontal="center" vertical="center"/>
    </xf>
    <xf numFmtId="0" fontId="11" fillId="0" borderId="0" applyAlignment="1" pivotButton="0" quotePrefix="0" xfId="0">
      <alignment vertical="top" wrapText="1"/>
    </xf>
    <xf numFmtId="0" fontId="0" fillId="0" borderId="0" applyAlignment="1" pivotButton="0" quotePrefix="0" xfId="0">
      <alignment vertical="top" wrapText="1"/>
    </xf>
  </cellXfs>
  <cellStyles count="10">
    <cellStyle name="Normal" xfId="0" builtinId="0"/>
    <cellStyle name="Comma" xfId="1" builtinId="3"/>
    <cellStyle name="Normal_Hand dug" xfId="2"/>
    <cellStyle name="Normal 5" xfId="3"/>
    <cellStyle name="Currency 2" xfId="4"/>
    <cellStyle name="Hyperlink 2" xfId="5"/>
    <cellStyle name="Normal 2" xfId="6"/>
    <cellStyle name="Currency 3" xfId="7"/>
    <cellStyle name="Comma 2" xfId="8"/>
    <cellStyle name="Currency" xfId="9"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2</col>
      <colOff>286459</colOff>
      <row>1</row>
      <rowOff>168861</rowOff>
    </from>
    <to>
      <col>4</col>
      <colOff>155090</colOff>
      <row>1</row>
      <rowOff>1222993</rowOff>
    </to>
    <pic>
      <nvPicPr>
        <cNvPr id="2" name="Picture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501849" y="363171"/>
          <a:ext cx="2653740" cy="1050322"/>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N45"/>
  <sheetViews>
    <sheetView tabSelected="1" topLeftCell="A2" zoomScale="71" zoomScaleNormal="85" workbookViewId="0">
      <selection activeCell="C9" sqref="C9:D9"/>
    </sheetView>
  </sheetViews>
  <sheetFormatPr baseColWidth="8" defaultColWidth="8.88671875" defaultRowHeight="14.4"/>
  <cols>
    <col width="4.6640625" customWidth="1" min="1" max="1"/>
    <col width="13.6640625" customWidth="1" min="2" max="2"/>
    <col width="9.6640625" customWidth="1" style="1" min="3" max="3"/>
    <col width="30.88671875" customWidth="1" style="2" min="4" max="4"/>
    <col width="23.5546875" customWidth="1" style="2" min="5" max="5"/>
    <col width="10.88671875" customWidth="1" style="2" min="6" max="6"/>
    <col width="6.5546875" customWidth="1" style="2" min="7" max="7"/>
    <col width="10.88671875" customWidth="1" style="2" min="8" max="8"/>
    <col width="17.6640625" customWidth="1" style="1" min="9" max="9"/>
    <col width="38" bestFit="1" customWidth="1" min="10" max="10"/>
    <col width="26.88671875" customWidth="1" min="11" max="11"/>
    <col width="26.109375" customWidth="1" min="12" max="12"/>
    <col width="15.88671875" customWidth="1" min="13" max="13"/>
    <col width="17.88671875" customWidth="1" min="14" max="14"/>
    <col width="13.6640625" customWidth="1" min="15" max="15"/>
  </cols>
  <sheetData>
    <row r="1" ht="15" customHeight="1" thickBot="1"/>
    <row r="2" ht="118.5" customFormat="1" customHeight="1" s="2">
      <c r="C2" s="26" t="n"/>
      <c r="D2" s="27" t="n"/>
      <c r="E2" s="27" t="n"/>
      <c r="F2" s="28" t="n"/>
      <c r="G2" s="28" t="n"/>
      <c r="H2" s="28" t="n"/>
      <c r="I2" s="29" t="n"/>
    </row>
    <row r="3" ht="15.6" customHeight="1">
      <c r="C3" s="6" t="inlineStr">
        <is>
          <t>Client:</t>
        </is>
      </c>
      <c r="D3" s="7" t="inlineStr">
        <is>
          <t>Chigwell (London) PLC</t>
        </is>
      </c>
      <c r="E3" s="7" t="n"/>
      <c r="F3" s="7" t="n"/>
      <c r="G3" s="7" t="n"/>
      <c r="H3" s="7" t="n"/>
      <c r="I3" s="8" t="n"/>
    </row>
    <row r="4" ht="15.6" customHeight="1">
      <c r="C4" s="9" t="inlineStr">
        <is>
          <t xml:space="preserve">Project Reference: </t>
        </is>
      </c>
      <c r="D4" s="10" t="inlineStr">
        <is>
          <t>Grange Hill Methodist Church Ext - WD001 Windows and Doors</t>
        </is>
      </c>
      <c r="E4" s="10" t="n"/>
      <c r="F4" s="10" t="n"/>
      <c r="G4" s="10" t="n"/>
      <c r="H4" s="10" t="n"/>
      <c r="I4" s="11" t="n"/>
    </row>
    <row r="5" ht="15.6" customHeight="1">
      <c r="C5" s="9" t="inlineStr">
        <is>
          <t>Site Address:</t>
        </is>
      </c>
      <c r="D5" s="10" t="inlineStr">
        <is>
          <t>Grange Hill Methodist Church, Burrow Road, Chigwell, Essex, IG7 4HQ</t>
        </is>
      </c>
      <c r="E5" s="10" t="n"/>
      <c r="F5" s="10" t="n"/>
      <c r="G5" s="10" t="n"/>
      <c r="H5" s="10" t="n"/>
      <c r="I5" s="11" t="n"/>
    </row>
    <row r="6" ht="16.2" customHeight="1" thickBot="1">
      <c r="C6" s="9" t="inlineStr">
        <is>
          <t>Date:</t>
        </is>
      </c>
      <c r="D6" s="12" t="inlineStr">
        <is>
          <t>29/07/2026</t>
        </is>
      </c>
      <c r="E6" s="10" t="n"/>
      <c r="F6" s="10" t="n"/>
      <c r="G6" s="10" t="n"/>
      <c r="H6" s="10" t="n"/>
      <c r="I6" s="11" t="n"/>
      <c r="J6" s="3" t="n"/>
      <c r="K6" s="3" t="n"/>
      <c r="L6" s="3" t="n"/>
      <c r="M6" s="3" t="n"/>
      <c r="N6" s="3" t="n"/>
    </row>
    <row r="7" ht="15" customFormat="1" customHeight="1" s="3" thickBot="1">
      <c r="C7" s="81" t="inlineStr">
        <is>
          <t>Description</t>
        </is>
      </c>
      <c r="D7" s="82" t="n"/>
      <c r="E7" s="83" t="inlineStr">
        <is>
          <t xml:space="preserve">Size </t>
        </is>
      </c>
      <c r="F7" s="83" t="inlineStr">
        <is>
          <t>Qty</t>
        </is>
      </c>
      <c r="G7" s="83" t="inlineStr">
        <is>
          <t>Unit</t>
        </is>
      </c>
      <c r="H7" s="83" t="inlineStr">
        <is>
          <t>Unit Rate</t>
        </is>
      </c>
      <c r="I7" s="35" t="inlineStr">
        <is>
          <t>Total</t>
        </is>
      </c>
    </row>
    <row r="8" ht="27.75" customFormat="1" customHeight="1" s="3">
      <c r="B8" s="62" t="n"/>
      <c r="C8" s="84" t="n"/>
      <c r="D8" s="85" t="n"/>
      <c r="E8" s="13" t="n"/>
      <c r="F8" s="86" t="n"/>
      <c r="G8" s="87" t="n"/>
      <c r="H8" s="87" t="n"/>
      <c r="I8" s="88" t="n"/>
    </row>
    <row r="9" ht="156" customFormat="1" customHeight="1" s="3">
      <c r="B9" s="4" t="n"/>
      <c r="C9" s="89" t="inlineStr">
        <is>
          <t>SOUTH ELEVATION - spec 3.14.1. Supply and install full storey height glazed entrance screen comprising 1/no 5900 x 2300mm door element with two 1200mm pivoted anti finger-trap door leaves and two fixed fields, level threshold, concealed panic bar, lever and cylinder, gate bolts to the secured leaf; with 2/no shaped units over (2900 x 2400 and 2900 x 2375) raking to the underside of the pitched roof. White polyester powder coated, polyamide thermal breaks, double glazed.</t>
        </is>
      </c>
      <c r="D9" s="90" t="n"/>
      <c r="E9" s="54" t="inlineStr">
        <is>
          <t>5900 x 2300 + 2/no 2900 x 2400</t>
        </is>
      </c>
      <c r="F9" s="91" t="n">
        <v>1</v>
      </c>
      <c r="G9" s="92" t="inlineStr">
        <is>
          <t>nr</t>
        </is>
      </c>
      <c r="H9" s="86" t="n">
        <v>14215.97</v>
      </c>
      <c r="I9" s="88">
        <f>SUM(H9*F9)</f>
        <v/>
      </c>
    </row>
    <row r="10" ht="144" customFormat="1" customHeight="1" s="3">
      <c r="B10" s="4" t="n"/>
      <c r="C10" s="94" t="inlineStr">
        <is>
          <t>WEST ELEVATION - spec 3.12.1. Supply and install full storey height glazed entrance screen comprising 1/no 4588 x 2100mm door element with a 1200mm pivoted anti finger-trap door leaf and two fixed fields, and 1/no separate 1200 x 2100mm single door element. Level threshold, concealed panic bar, lever and cylinder. White polyester powder coated, polyamide thermal breaks, double glazed.  ZERO RATED VAT ELEMENT - spec 3.12.1 (V).</t>
        </is>
      </c>
      <c r="D10" s="90" t="n"/>
      <c r="E10" s="54" t="inlineStr">
        <is>
          <t>4588 x 2100 + 1200 x 2100</t>
        </is>
      </c>
      <c r="F10" s="91" t="n">
        <v>1</v>
      </c>
      <c r="G10" s="92" t="inlineStr">
        <is>
          <t>nr</t>
        </is>
      </c>
      <c r="H10" s="86" t="n">
        <v>11569.26</v>
      </c>
      <c r="I10" s="88">
        <f>SUM(H10*F10)</f>
        <v/>
      </c>
    </row>
    <row r="11" ht="96" customFormat="1" customHeight="1" s="3">
      <c r="B11" s="4" t="n"/>
      <c r="C11" s="94" t="inlineStr">
        <is>
          <t>WINDOWS - spec 3.11.1. Supply and install 11/no aluminium casement windows: 2/no 1200 x 3000, 8/no 1200 x 1183 and 1/no 2000 x 2100. White polyester powder coated, polyamide thermal breaks, double glazed.  QUANTITIES AND LOCATIONS TO BE CONFIRMED - see qualification 1.</t>
        </is>
      </c>
      <c r="D11" s="90" t="n"/>
      <c r="E11" s="54" t="inlineStr">
        <is>
          <t>various - see qualification 1</t>
        </is>
      </c>
      <c r="F11" s="91" t="n">
        <v>1</v>
      </c>
      <c r="G11" s="92" t="inlineStr">
        <is>
          <t>item</t>
        </is>
      </c>
      <c r="H11" s="86" t="n">
        <v>11493.36</v>
      </c>
      <c r="I11" s="88">
        <f>SUM(H11*F11)</f>
        <v/>
      </c>
    </row>
    <row r="12" ht="144" customFormat="1" customHeight="1" s="3">
      <c r="B12" s="4" t="n"/>
      <c r="C12" s="94" t="inlineStr">
        <is>
          <t>ALLOWANCE - spec 3.13.1. Automatic operator package to the west disabled access door: operator sized to the door, safety sensor, additional door and frame strengthening, mounting plates, electrical supplies and equipment, internal and external push pads, internal emergency release and keyed isolating switch.  ALLOWANCE ONLY - no specialist quotation obtained, see qualification 8.  ZERO RATED VAT ELEMENT - spec 3.13.1 (V).</t>
        </is>
      </c>
      <c r="D12" s="90" t="n"/>
      <c r="E12" s="54" t="inlineStr">
        <is>
          <t>-</t>
        </is>
      </c>
      <c r="F12" s="91" t="n">
        <v>1</v>
      </c>
      <c r="G12" s="92" t="inlineStr">
        <is>
          <t>item</t>
        </is>
      </c>
      <c r="H12" s="86" t="n">
        <v>3000</v>
      </c>
      <c r="I12" s="88">
        <f>SUM(H12*F12)</f>
        <v/>
      </c>
    </row>
    <row r="13" ht="72" customFormat="1" customHeight="1" s="3">
      <c r="B13" s="4" t="n"/>
      <c r="C13" s="94" t="inlineStr">
        <is>
          <t>ALLOWANCE - spec 3.11.2. Apply fish symbol manifestations to the inner surface of all new glazing to the south and west elevations, approx 150 x 75mm, full width of glass, client to supply the pdf artwork.</t>
        </is>
      </c>
      <c r="D13" s="90" t="n"/>
      <c r="E13" s="54" t="inlineStr">
        <is>
          <t>-</t>
        </is>
      </c>
      <c r="F13" s="91" t="n">
        <v>1</v>
      </c>
      <c r="G13" s="92" t="inlineStr">
        <is>
          <t>item</t>
        </is>
      </c>
      <c r="H13" s="86" t="n">
        <v>250</v>
      </c>
      <c r="I13" s="88">
        <f>SUM(H13*F13)</f>
        <v/>
      </c>
    </row>
    <row r="14" ht="36" customFormat="1" customHeight="1" s="3">
      <c r="B14" s="4" t="n"/>
      <c r="C14" s="95" t="n"/>
      <c r="D14" s="90" t="n"/>
      <c r="E14" s="54" t="n"/>
      <c r="F14" s="96" t="n"/>
      <c r="G14" s="92" t="n"/>
      <c r="H14" s="86" t="n"/>
      <c r="I14" s="88" t="n"/>
    </row>
    <row r="15" customFormat="1" s="3">
      <c r="B15" s="4" t="n"/>
      <c r="C15" s="97" t="n"/>
      <c r="D15" s="90" t="n"/>
      <c r="E15" s="54" t="n"/>
      <c r="F15" s="96" t="n"/>
      <c r="G15" s="92" t="n"/>
      <c r="H15" s="86" t="n"/>
      <c r="I15" s="88" t="n"/>
    </row>
    <row r="16" customFormat="1" s="3">
      <c r="B16" s="4" t="n"/>
      <c r="C16" s="95" t="n"/>
      <c r="D16" s="90" t="n"/>
      <c r="E16" s="54" t="n"/>
      <c r="F16" s="96" t="n"/>
      <c r="G16" s="92" t="n"/>
      <c r="H16" s="86" t="n"/>
      <c r="I16" s="88" t="n"/>
    </row>
    <row r="17" customFormat="1" s="3">
      <c r="B17" s="4" t="n"/>
      <c r="C17" s="95" t="n"/>
      <c r="D17" s="90" t="n"/>
      <c r="E17" s="54" t="n"/>
      <c r="F17" s="96" t="n"/>
      <c r="G17" s="92" t="n"/>
      <c r="H17" s="86" t="n"/>
      <c r="I17" s="88" t="n"/>
    </row>
    <row r="18" customFormat="1" s="3">
      <c r="B18" s="4" t="n"/>
      <c r="C18" s="95" t="n"/>
      <c r="D18" s="90" t="n"/>
      <c r="E18" s="54" t="n"/>
      <c r="F18" s="96" t="n"/>
      <c r="G18" s="92" t="n"/>
      <c r="H18" s="86" t="n"/>
      <c r="I18" s="88" t="n"/>
    </row>
    <row r="19" customFormat="1" s="3">
      <c r="B19" s="4" t="n"/>
      <c r="C19" s="97" t="n"/>
      <c r="D19" s="90" t="n"/>
      <c r="E19" s="54" t="n"/>
      <c r="F19" s="96" t="n"/>
      <c r="G19" s="92" t="n"/>
      <c r="H19" s="86" t="n"/>
      <c r="I19" s="88" t="n"/>
    </row>
    <row r="20" ht="39.75" customFormat="1" customHeight="1" s="3" thickBot="1">
      <c r="B20" s="4" t="n"/>
      <c r="C20" s="98" t="n"/>
      <c r="D20" s="99" t="n"/>
      <c r="E20" s="63" t="n"/>
      <c r="F20" s="96" t="n"/>
      <c r="G20" s="92" t="n"/>
      <c r="H20" s="86" t="n"/>
      <c r="I20" s="88" t="n"/>
    </row>
    <row r="21" ht="15" customFormat="1" customHeight="1" s="3">
      <c r="C21" s="100" t="n"/>
      <c r="D21" s="101" t="n"/>
      <c r="E21" s="102" t="n"/>
      <c r="F21" s="102" t="n"/>
      <c r="G21" s="101" t="inlineStr">
        <is>
          <t>INSTALLATION</t>
        </is>
      </c>
      <c r="H21" s="103" t="n"/>
      <c r="I21" s="104" t="n">
        <v>0</v>
      </c>
    </row>
    <row r="22" ht="15" customFormat="1" customHeight="1" s="3">
      <c r="C22" s="105" t="n"/>
      <c r="D22" s="106" t="n"/>
      <c r="E22" s="107" t="n"/>
      <c r="F22" s="107" t="n"/>
      <c r="G22" s="107" t="n"/>
      <c r="H22" s="107" t="n"/>
      <c r="I22" s="108" t="n"/>
    </row>
    <row r="23" ht="13.8" customFormat="1" customHeight="1" s="3">
      <c r="C23" s="40" t="n"/>
      <c r="D23" s="30" t="n"/>
      <c r="E23" s="30" t="n"/>
      <c r="F23" s="107" t="n"/>
      <c r="G23" s="107" t="n"/>
      <c r="H23" s="107" t="inlineStr">
        <is>
          <t>TOTAL*</t>
        </is>
      </c>
      <c r="I23" s="109">
        <f>SUM(I9:I13)+I21</f>
        <v/>
      </c>
    </row>
    <row r="24" customFormat="1" s="3" thickBot="1">
      <c r="C24" s="45" t="n"/>
      <c r="D24" s="32" t="n"/>
      <c r="E24" s="32" t="n"/>
      <c r="F24" s="110" t="n"/>
      <c r="G24" s="110" t="n"/>
      <c r="H24" s="110" t="n"/>
      <c r="I24" s="111" t="n"/>
    </row>
    <row r="25" ht="5.4" customFormat="1" customHeight="1" s="3" thickBot="1">
      <c r="C25" s="4" t="n"/>
      <c r="D25" s="4" t="n"/>
      <c r="E25" s="4" t="n"/>
      <c r="F25" s="4" t="n"/>
      <c r="G25" s="4" t="n"/>
      <c r="H25" s="4" t="n"/>
      <c r="I25" s="4" t="n"/>
    </row>
    <row r="26" ht="15.6" customFormat="1" customHeight="1" s="3">
      <c r="C26" s="36" t="n"/>
      <c r="D26" s="61" t="n"/>
      <c r="E26" s="37" t="n"/>
      <c r="F26" s="102" t="n"/>
      <c r="G26" s="102" t="n"/>
      <c r="H26" s="102" t="n"/>
      <c r="I26" s="112" t="n"/>
    </row>
    <row r="27" customFormat="1" s="3">
      <c r="C27" s="40" t="n"/>
      <c r="D27" s="41" t="n"/>
      <c r="E27" s="42" t="n"/>
      <c r="F27" s="113" t="n"/>
      <c r="I27" s="108" t="n"/>
    </row>
    <row r="28" customFormat="1" s="3">
      <c r="C28" s="40" t="n"/>
      <c r="D28" s="41" t="n"/>
      <c r="E28" s="42" t="n"/>
      <c r="F28" s="113" t="n"/>
      <c r="I28" s="108" t="n"/>
    </row>
    <row r="29" ht="18.6" customFormat="1" customHeight="1" s="3" thickBot="1">
      <c r="C29" s="45" t="n"/>
      <c r="D29" s="46" t="n"/>
      <c r="E29" s="46" t="n"/>
      <c r="F29" s="46" t="n"/>
      <c r="G29" s="46" t="n"/>
      <c r="H29" s="46" t="n"/>
      <c r="I29" s="47" t="n"/>
    </row>
    <row r="30">
      <c r="C30" s="24" t="inlineStr">
        <is>
          <t xml:space="preserve">* Total value excluding VAT. </t>
        </is>
      </c>
      <c r="D30" s="20" t="n"/>
      <c r="E30" s="20" t="n"/>
    </row>
    <row r="31">
      <c r="C31" s="25" t="inlineStr">
        <is>
          <t>** This pricing document should be read in conjunction with the Terms and Conditions.</t>
        </is>
      </c>
      <c r="D31" s="20" t="n"/>
      <c r="E31" s="20" t="n"/>
    </row>
    <row r="32">
      <c r="C32" s="23" t="n"/>
      <c r="D32" s="20" t="n"/>
      <c r="E32" s="20" t="n"/>
    </row>
    <row r="33">
      <c r="C33" s="114" t="inlineStr">
        <is>
          <t>QUALIFICATIONS AND EXCLUSIONS - this quotation is offered subject to the following, which form part of our offer.</t>
        </is>
      </c>
      <c r="D33" s="20" t="n"/>
      <c r="E33" s="20" t="n"/>
    </row>
    <row r="34" ht="55" customHeight="1">
      <c r="C34" s="115" t="inlineStr">
        <is>
          <t>1. WINDOW QUANTITIES ARE NOT AGREED. The 11/no windows above are taken from our fabricator's own re-scale of the elevations. There is no window schedule in the tender documents and no setting-out drawing has been issued, and specification clauses 3.11 to 3.14 describe the two screens and their doors only. Please confirm the quantity, size and location of these units. If they do not form part of WD001, deduct GBP 11,493.36.</t>
        </is>
      </c>
    </row>
    <row r="35" ht="44" customHeight="1">
      <c r="C35" s="115" t="inlineStr">
        <is>
          <t>2. CHAPEL FOLDING DOORS - spec 3.15.1 - EXCLUDED. No elevation of the chapel has been issued, so neither the door height nor the fixed glazed section above it has a dimension anywhere in the pack. Separately, the recessed bottom rail and the fixed glazed section over cannot both be provided within the folding door systems available to us. Please issue a chapel elevation and we will quote this element separately.</t>
        </is>
      </c>
    </row>
    <row r="36" ht="15" customHeight="1">
      <c r="C36" s="116" t="inlineStr">
        <is>
          <t>3. PRIVACY FILM - spec 3.15.2 - EXCLUDED, following 3.15.1.</t>
        </is>
      </c>
    </row>
    <row r="37" ht="44" customHeight="1">
      <c r="C37" s="116" t="inlineStr">
        <is>
          <t>4. INTERNAL FIRE CHECK DOORS - spec 3.16.1 and 3.16.2 - EXCLUDED. These are internal timber FD60 doorsets with timber infill framing, two layers of 12mm plasterboard both sides taped and skimmed, and magnetic hold-opens wired to the fire detection system. They appear on no drawing and in no door schedule. Please confirm whether they form part of WD001 and we will price them.</t>
        </is>
      </c>
    </row>
    <row r="38" ht="66" customHeight="1">
      <c r="C38" s="116" t="inlineStr">
        <is>
          <t>5. GLASS. Clause 3.11.1 names Pilkington Optitherm S1 with solar control, Arctic Blue, to the outer pane and Optitherm S1 plus to the inner. We have priced our fabricator's equivalent: 6mm SKN 176 toughened / 16 / 6mm HP Neutral Low E argon filled to the windows, and 4mm Coolite SKN176II with 8.8 laminate / 6mm toughened Anti Sun Grey to the door elements. These are two different tints and we would recommend a single tint across both elevations. Samples will be provided before order in accordance with 3.11.1. If the named Pilkington products are required without substitution we will requote.</t>
        </is>
      </c>
    </row>
    <row r="39" ht="44" customHeight="1">
      <c r="C39" s="116" t="inlineStr">
        <is>
          <t>6. IRONMONGERY. Clauses 3.12.1 and 3.14.1 name a Briton 1438 fire escape push pad with Briton 1413 access locking knob, and Yale Platinum 3-star euro cylinders with thumbturn, keyed alike. We have priced the fabricator's concealed panic bar with lever and screw-in cylinder, without internal thumbturns, offered under the 'or similar approved' provision. Please confirm acceptance or we will price the named products.</t>
        </is>
      </c>
    </row>
    <row r="40" ht="66" customHeight="1">
      <c r="C40" s="116" t="inlineStr">
        <is>
          <t>7. SUPPORT TO THE GLAZING ABOVE THE DOORS. The door elements are 100mm frames and the glazing above them is 70mm; the two cannot be mechanically coupled to one another. Our price assumes the glazing above each door element is independently supported - on the south elevation by the 150 x 90 x 24 PFC facade header support beam shown on Silver Structural Surveys drawing S1323/02 Rev C01. Please confirm the supporting structure at the head of the west elevation door element. Where no independent support exists a change of system is required and the price will change.</t>
        </is>
      </c>
    </row>
    <row r="41" ht="22" customHeight="1">
      <c r="C41" s="116" t="inlineStr">
        <is>
          <t>8. THE AUTOMATIC OPERATOR IS AN ALLOWANCE, not a quotation. No specialist has been approached. It will be confirmed against a specialist price.</t>
        </is>
      </c>
    </row>
    <row r="42" ht="44" customHeight="1">
      <c r="C42" s="116" t="inlineStr">
        <is>
          <t>9. VAT. Priced exclusive of VAT. The specification identifies 3.12.1 (V) and 3.13.1 (V) as zero rated elements: GBP 14,569.26 of the sum above sits against those two clauses. The apportionment within 3.12.1 between the disabled access door and the surrounding screen is for your confirmation, and we will invoice in accordance with your direction and the appropriate customer certificate.</t>
        </is>
      </c>
    </row>
    <row r="43" ht="33" customHeight="1">
      <c r="C43" s="116" t="inlineStr">
        <is>
          <t>10. VALIDITY. The material costs behind this price are dated 29 July 2026 and are held for thirty days, expiring 28 August 2026. The works are programmed November 2026 to July 2027, so material costs are to be re-confirmed at the point of order.</t>
        </is>
      </c>
    </row>
    <row r="44" ht="22" customHeight="1">
      <c r="C44" s="116" t="inlineStr">
        <is>
          <t>11. All dimensions are our fabricator's, scaled from the 1:100 elevations. All sizes are subject to site survey before manufacture.</t>
        </is>
      </c>
    </row>
    <row r="45" ht="22" customHeight="1">
      <c r="C45" s="116" t="inlineStr">
        <is>
          <t>12. External perimeter mastic and EPDM membrane to the reveals are excluded. They can be included on confirmation of the perimeter to be sealed.</t>
        </is>
      </c>
    </row>
  </sheetData>
  <mergeCells count="29">
    <mergeCell ref="C36:I36"/>
    <mergeCell ref="G21:H21"/>
    <mergeCell ref="C15:D15"/>
    <mergeCell ref="C39:I39"/>
    <mergeCell ref="C14:D14"/>
    <mergeCell ref="C38:I38"/>
    <mergeCell ref="C37:I37"/>
    <mergeCell ref="C20:D20"/>
    <mergeCell ref="F28:H28"/>
    <mergeCell ref="C16:D16"/>
    <mergeCell ref="C10:D10"/>
    <mergeCell ref="F27:H27"/>
    <mergeCell ref="C34:I34"/>
    <mergeCell ref="C42:I42"/>
    <mergeCell ref="C9:D9"/>
    <mergeCell ref="C45:I45"/>
    <mergeCell ref="C12:D12"/>
    <mergeCell ref="C11:D11"/>
    <mergeCell ref="C35:I35"/>
    <mergeCell ref="C17:D17"/>
    <mergeCell ref="C41:I41"/>
    <mergeCell ref="C8:D8"/>
    <mergeCell ref="C44:I44"/>
    <mergeCell ref="C40:I40"/>
    <mergeCell ref="C7:D7"/>
    <mergeCell ref="C19:D19"/>
    <mergeCell ref="C43:I43"/>
    <mergeCell ref="C13:D13"/>
    <mergeCell ref="C18:D18"/>
  </mergeCells>
  <printOptions horizontalCentered="1"/>
  <pageMargins left="0.7086614173228347" right="0.7086614173228347" top="0.7480314960629921" bottom="0.7480314960629921" header="0.3149606299212598" footer="0.3149606299212598"/>
  <pageSetup orientation="portrait" paperSize="9" scale="7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Fenster Glazing and Locks Ltd</dc:creator>
  <dcterms:created xmlns:dcterms="http://purl.org/dc/terms/" xmlns:xsi="http://www.w3.org/2001/XMLSchema-instance" xsi:type="dcterms:W3CDTF">2018-12-07T08:13:03Z</dcterms:created>
  <dcterms:modified xmlns:dcterms="http://purl.org/dc/terms/" xmlns:xsi="http://www.w3.org/2001/XMLSchema-instance" xsi:type="dcterms:W3CDTF">2026-07-29T13:26:23Z</dcterms:modified>
  <cp:lastModifiedBy>Fenster Glazing and Locks Ltd</cp:lastModifiedBy>
  <cp:lastPrinted>2026-03-04T15:45:18Z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0x010100BBE029A084523C4C9690FE69933833E4</vt:lpwstr>
  </property>
  <property name="MediaServiceImageTags" fmtid="{D5CDD505-2E9C-101B-9397-08002B2CF9AE}" pid="3">
    <vt:lpwstr xmlns:vt="http://schemas.openxmlformats.org/officeDocument/2006/docPropsVTypes"/>
  </property>
</Properties>
</file>