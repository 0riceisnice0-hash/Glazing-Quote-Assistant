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Document" sheetId="1" state="visible" r:id="rId1"/>
    <sheet name="Pricing Review" sheetId="2" state="visible" r:id="rId2"/>
    <sheet name="Summary" sheetId="3" state="visible" r:id="rId3"/>
    <sheet name="Assumptions Exclusions RFIs" sheetId="4" state="visible" r:id="rId4"/>
    <sheet name="Source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52" customWidth="1" min="4" max="4"/>
    <col width="34" customWidth="1" min="5" max="5"/>
    <col width="6" customWidth="1" min="6" max="6"/>
    <col width="6" customWidth="1" min="7" max="7"/>
    <col width="26" customWidth="1" min="8" max="8"/>
    <col width="16" customWidth="1" min="9" max="9"/>
    <col width="9" customWidth="1" min="10" max="10"/>
    <col width="12" customWidth="1" min="11" max="11"/>
    <col width="12" customWidth="1" min="12" max="12"/>
    <col width="15" customWidth="1" min="13" max="13"/>
    <col width="52" customWidth="1" min="14" max="14"/>
    <col width="40" customWidth="1" min="15" max="15"/>
  </cols>
  <sheetData>
    <row r="1">
      <c r="A1" s="1" t="inlineStr">
        <is>
          <t>Section</t>
        </is>
      </c>
      <c r="B1" s="1" t="inlineStr">
        <is>
          <t>Item Ref</t>
        </is>
      </c>
      <c r="C1" s="1" t="inlineStr">
        <is>
          <t>Location/Elevation</t>
        </is>
      </c>
      <c r="D1" s="1" t="inlineStr">
        <is>
          <t>Description</t>
        </is>
      </c>
      <c r="E1" s="1" t="inlineStr">
        <is>
          <t>Material/System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Supplier Quote Reference</t>
        </is>
      </c>
      <c r="I1" s="1" t="inlineStr">
        <is>
          <t>Supplier/Fallback Cost ex VAT</t>
        </is>
      </c>
      <c r="J1" s="1" t="inlineStr">
        <is>
          <t>Code</t>
        </is>
      </c>
      <c r="K1" s="1" t="inlineStr">
        <is>
          <t>Code Markup</t>
        </is>
      </c>
      <c r="L1" s="1" t="inlineStr">
        <is>
          <t>Labour Allowance</t>
        </is>
      </c>
      <c r="M1" s="1" t="inlineStr">
        <is>
          <t>Sell Total ex VAT</t>
        </is>
      </c>
      <c r="N1" s="1" t="inlineStr">
        <is>
          <t>Notes/Clarifications</t>
        </is>
      </c>
      <c r="O1" s="1" t="inlineStr">
        <is>
          <t>Source</t>
        </is>
      </c>
    </row>
    <row r="2">
      <c r="A2" s="2" t="inlineStr">
        <is>
          <t>External doors</t>
        </is>
      </c>
      <c r="B2" s="2" t="inlineStr">
        <is>
          <t>ED.0.02</t>
        </is>
      </c>
      <c r="C2" s="2" t="inlineStr">
        <is>
          <t>External windows/doors</t>
        </is>
      </c>
      <c r="D2" s="2" t="inlineStr">
        <is>
          <t>CLASSROOM EXTERNAL DOOR - EXD.E.02; door element 1010 x 2110 mm, single anti-fingertrap door</t>
        </is>
      </c>
      <c r="E2" s="2" t="inlineStr">
        <is>
          <t>PPC aluminium, double glazed (assumed - material/system not stated in BoQ)</t>
        </is>
      </c>
      <c r="F2" s="2" t="n">
        <v>1</v>
      </c>
      <c r="G2" s="2" t="inlineStr">
        <is>
          <t>nr</t>
        </is>
      </c>
      <c r="H2" s="2" t="inlineStr">
        <is>
          <t>No supplier quote - budget fallback rate</t>
        </is>
      </c>
      <c r="I2" s="3" t="n">
        <v>2514.7</v>
      </c>
      <c r="J2" s="2" t="inlineStr">
        <is>
          <t>SAD</t>
        </is>
      </c>
      <c r="K2" s="3" t="n">
        <v>1150</v>
      </c>
      <c r="L2" s="3" t="n">
        <v>250</v>
      </c>
      <c r="M2" s="3">
        <f>I2+K2+L2</f>
        <v/>
      </c>
      <c r="N2" s="2" t="inlineStr">
        <is>
          <t>Anti-fingertrap classroom door. Doors U-value 1.2 W/m2K per BoQ quoted-value list.</t>
        </is>
      </c>
      <c r="O2" s="2" t="inlineStr">
        <is>
          <t>Brocks Hill BoQs.xlsx - 'Windows &amp; Doors' sheet (blank-rate contractor BoQ)</t>
        </is>
      </c>
    </row>
    <row r="3">
      <c r="A3" s="2" t="inlineStr">
        <is>
          <t>External doors</t>
        </is>
      </c>
      <c r="B3" s="2" t="inlineStr">
        <is>
          <t>ED.0.10/14</t>
        </is>
      </c>
      <c r="C3" s="2" t="inlineStr">
        <is>
          <t>External windows/doors</t>
        </is>
      </c>
      <c r="D3" s="2" t="inlineStr">
        <is>
          <t>GLAZED ENTRANCE DOORS - EXD.E.04; door element 1810 x 2110 mm, single anti-fingertrap door</t>
        </is>
      </c>
      <c r="E3" s="2" t="inlineStr">
        <is>
          <t>PPC aluminium, double glazed (assumed - material/system not stated in BoQ)</t>
        </is>
      </c>
      <c r="F3" s="2" t="n">
        <v>2</v>
      </c>
      <c r="G3" s="2" t="inlineStr">
        <is>
          <t>nr</t>
        </is>
      </c>
      <c r="H3" s="2" t="inlineStr">
        <is>
          <t>No supplier quote - budget fallback rate</t>
        </is>
      </c>
      <c r="I3" s="3" t="n">
        <v>9013.08</v>
      </c>
      <c r="J3" s="2" t="inlineStr">
        <is>
          <t>SAD</t>
        </is>
      </c>
      <c r="K3" s="3" t="n">
        <v>2300</v>
      </c>
      <c r="L3" s="3" t="n">
        <v>500</v>
      </c>
      <c r="M3" s="3">
        <f>I3+K3+L3</f>
        <v/>
      </c>
      <c r="N3" s="2" t="inlineStr">
        <is>
          <t>1810 mm wide for a single leaf - confirm if leaf + fixed side panel or leaf-and-a-half (RFI). Power-assist extra-over listed separately.</t>
        </is>
      </c>
      <c r="O3" s="2" t="inlineStr">
        <is>
          <t>Brocks Hill BoQs.xlsx - 'Windows &amp; Doors' sheet (blank-rate contractor BoQ)</t>
        </is>
      </c>
    </row>
    <row r="4">
      <c r="A4" s="2" t="inlineStr">
        <is>
          <t>External doors</t>
        </is>
      </c>
      <c r="B4" s="2" t="inlineStr">
        <is>
          <t>E/O POWER ASSISTED</t>
        </is>
      </c>
      <c r="C4" s="2" t="inlineStr">
        <is>
          <t>External windows/doors</t>
        </is>
      </c>
      <c r="D4" s="2" t="inlineStr">
        <is>
          <t>Extra-over: power assisted operation to glazed entrance door</t>
        </is>
      </c>
      <c r="E4" s="2" t="inlineStr">
        <is>
          <t>Automatic operator package TBC</t>
        </is>
      </c>
      <c r="F4" s="2" t="n">
        <v>1</v>
      </c>
      <c r="G4" s="2" t="inlineStr">
        <is>
          <t>nr</t>
        </is>
      </c>
      <c r="H4" s="2" t="inlineStr">
        <is>
          <t>No supplier quote</t>
        </is>
      </c>
      <c r="I4" s="2" t="inlineStr">
        <is>
          <t>TBC</t>
        </is>
      </c>
      <c r="J4" s="2" t="inlineStr">
        <is>
          <t>TBC</t>
        </is>
      </c>
      <c r="K4" s="2" t="inlineStr">
        <is>
          <t>TBC</t>
        </is>
      </c>
      <c r="L4" s="2" t="inlineStr">
        <is>
          <t>TBC</t>
        </is>
      </c>
      <c r="M4" s="2" t="inlineStr">
        <is>
          <t>TBC</t>
        </is>
      </c>
      <c r="N4" s="2" t="inlineStr">
        <is>
          <t>Not priced. Needs automatic-door supplier quote (e.g. ACA) covering operator, sensors, safety devices and commissioning.</t>
        </is>
      </c>
      <c r="O4" s="2" t="inlineStr">
        <is>
          <t>Brocks Hill BoQs.xlsx - 'Windows &amp; Doors' sheet (blank-rate contractor BoQ)</t>
        </is>
      </c>
    </row>
    <row r="5">
      <c r="A5" s="2" t="inlineStr">
        <is>
          <t>Screens with doors</t>
        </is>
      </c>
      <c r="B5" s="2" t="inlineStr">
        <is>
          <t>WIN.E.01</t>
        </is>
      </c>
      <c r="C5" s="2" t="inlineStr">
        <is>
          <t>Windows</t>
        </is>
      </c>
      <c r="D5" s="2" t="inlineStr">
        <is>
          <t>WIN.E.01; door element 1610 x 2110 mm: fixed field + single anti-fingertrap door (DOOR EXD.E.02 INC E/W)</t>
        </is>
      </c>
      <c r="E5" s="2" t="inlineStr">
        <is>
          <t>PPC aluminium, double glazed (assumed - material/system not stated in BoQ)</t>
        </is>
      </c>
      <c r="F5" s="2" t="n">
        <v>4</v>
      </c>
      <c r="G5" s="2" t="inlineStr">
        <is>
          <t>nr</t>
        </is>
      </c>
      <c r="H5" s="2" t="inlineStr">
        <is>
          <t>No supplier quote - budget fallback rate</t>
        </is>
      </c>
      <c r="I5" s="3" t="n">
        <v>16034.32</v>
      </c>
      <c r="J5" s="2" t="inlineStr">
        <is>
          <t>SADSAW</t>
        </is>
      </c>
      <c r="K5" s="3" t="n">
        <v>6600</v>
      </c>
      <c r="L5" s="3" t="n">
        <v>1640</v>
      </c>
      <c r="M5" s="3">
        <f>I5+K5+L5</f>
        <v/>
      </c>
      <c r="N5" s="2" t="inlineStr">
        <is>
          <t>Combined door + fixed screen element; combined code needs estimator review.</t>
        </is>
      </c>
      <c r="O5" s="2" t="inlineStr">
        <is>
          <t>Brocks Hill BoQs.xlsx - 'Windows &amp; Doors' sheet (blank-rate contractor BoQ)</t>
        </is>
      </c>
    </row>
    <row r="6">
      <c r="A6" s="2" t="inlineStr">
        <is>
          <t>Screens with doors</t>
        </is>
      </c>
      <c r="B6" s="2" t="inlineStr">
        <is>
          <t>E/O FOR EXD.E.02 (03/11/12/13)</t>
        </is>
      </c>
      <c r="C6" s="2" t="inlineStr">
        <is>
          <t>Windows</t>
        </is>
      </c>
      <c r="D6" s="2" t="inlineStr">
        <is>
          <t>Extra-over for EXD.E.02 (03/11/12/13)</t>
        </is>
      </c>
      <c r="E6" s="2" t="inlineStr">
        <is>
          <t>TBC</t>
        </is>
      </c>
      <c r="F6" s="2" t="n">
        <v>4</v>
      </c>
      <c r="G6" s="2" t="inlineStr">
        <is>
          <t>nr</t>
        </is>
      </c>
      <c r="H6" s="2" t="inlineStr">
        <is>
          <t>No supplier quote</t>
        </is>
      </c>
      <c r="I6" s="2" t="inlineStr">
        <is>
          <t>TBC</t>
        </is>
      </c>
      <c r="J6" s="2" t="inlineStr">
        <is>
          <t>TBC</t>
        </is>
      </c>
      <c r="K6" s="2" t="inlineStr">
        <is>
          <t>TBC</t>
        </is>
      </c>
      <c r="L6" s="2" t="inlineStr">
        <is>
          <t>TBC</t>
        </is>
      </c>
      <c r="M6" s="2" t="inlineStr">
        <is>
          <t>TBC</t>
        </is>
      </c>
      <c r="N6" s="2" t="inlineStr">
        <is>
          <t>Not priced - BoQ wording unclear. Appears to relate to the four WIN.E.01 door elements numbered 03/11/12/13. Raise RFI.</t>
        </is>
      </c>
      <c r="O6" s="2" t="inlineStr">
        <is>
          <t>Brocks Hill BoQs.xlsx - 'Windows &amp; Doors' sheet (blank-rate contractor BoQ)</t>
        </is>
      </c>
    </row>
    <row r="7">
      <c r="A7" s="2" t="inlineStr">
        <is>
          <t>Windows</t>
        </is>
      </c>
      <c r="B7" s="2" t="inlineStr">
        <is>
          <t>WIN.E.02</t>
        </is>
      </c>
      <c r="C7" s="2" t="inlineStr">
        <is>
          <t>Windows</t>
        </is>
      </c>
      <c r="D7" s="2" t="inlineStr">
        <is>
          <t>WIN.E.02; window element 1800 x 2100 mm, two fixed fields and a top hung window</t>
        </is>
      </c>
      <c r="E7" s="2" t="inlineStr">
        <is>
          <t>PPC aluminium, double glazed (assumed - material/system not stated in BoQ)</t>
        </is>
      </c>
      <c r="F7" s="2" t="n">
        <v>23</v>
      </c>
      <c r="G7" s="2" t="inlineStr">
        <is>
          <t>nr</t>
        </is>
      </c>
      <c r="H7" s="2" t="inlineStr">
        <is>
          <t>No supplier quote - budget fallback rate</t>
        </is>
      </c>
      <c r="I7" s="3" t="n">
        <v>38583.88</v>
      </c>
      <c r="J7" s="2" t="inlineStr">
        <is>
          <t>MAW</t>
        </is>
      </c>
      <c r="K7" s="3" t="n">
        <v>11500</v>
      </c>
      <c r="L7" s="3" t="n">
        <v>3680</v>
      </c>
      <c r="M7" s="3">
        <f>I7+K7+L7</f>
        <v/>
      </c>
      <c r="N7" s="2" t="inlineStr">
        <is>
          <t>Split-pane budget rate (2 fixed + 1 opening). Windows U-value 1.1 W/m2K per BoQ quoted-value list.</t>
        </is>
      </c>
      <c r="O7" s="2" t="inlineStr">
        <is>
          <t>Brocks Hill BoQs.xlsx - 'Windows &amp; Doors' sheet (blank-rate contractor BoQ)</t>
        </is>
      </c>
    </row>
    <row r="8">
      <c r="A8" s="2" t="inlineStr">
        <is>
          <t>Windows</t>
        </is>
      </c>
      <c r="B8" s="2" t="inlineStr">
        <is>
          <t>WIN.E.04</t>
        </is>
      </c>
      <c r="C8" s="2" t="inlineStr">
        <is>
          <t>Windows</t>
        </is>
      </c>
      <c r="D8" s="2" t="inlineStr">
        <is>
          <t>WIN.E.04; window element 1800 x 2400 mm, fixed field</t>
        </is>
      </c>
      <c r="E8" s="2" t="inlineStr">
        <is>
          <t>PPC aluminium, double glazed (assumed - material/system not stated in BoQ)</t>
        </is>
      </c>
      <c r="F8" s="2" t="n">
        <v>4</v>
      </c>
      <c r="G8" s="2" t="inlineStr">
        <is>
          <t>nr</t>
        </is>
      </c>
      <c r="H8" s="2" t="inlineStr">
        <is>
          <t>No supplier quote - budget fallback rate</t>
        </is>
      </c>
      <c r="I8" s="3" t="n">
        <v>5616</v>
      </c>
      <c r="J8" s="2" t="inlineStr">
        <is>
          <t>MAW</t>
        </is>
      </c>
      <c r="K8" s="3" t="n">
        <v>2000</v>
      </c>
      <c r="L8" s="3" t="n">
        <v>640</v>
      </c>
      <c r="M8" s="3">
        <f>I8+K8+L8</f>
        <v/>
      </c>
      <c r="N8" s="2" t="inlineStr"/>
      <c r="O8" s="2" t="inlineStr">
        <is>
          <t>Brocks Hill BoQs.xlsx - 'Windows &amp; Doors' sheet (blank-rate contractor BoQ)</t>
        </is>
      </c>
    </row>
    <row r="9">
      <c r="A9" s="2" t="inlineStr">
        <is>
          <t>Windows</t>
        </is>
      </c>
      <c r="B9" s="2" t="inlineStr">
        <is>
          <t>WIN.E.05</t>
        </is>
      </c>
      <c r="C9" s="2" t="inlineStr">
        <is>
          <t>Windows</t>
        </is>
      </c>
      <c r="D9" s="2" t="inlineStr">
        <is>
          <t>WIN.E.05; window element 1000 x 2100 mm, fixed field</t>
        </is>
      </c>
      <c r="E9" s="2" t="inlineStr">
        <is>
          <t>PPC aluminium, double glazed (assumed - material/system not stated in BoQ)</t>
        </is>
      </c>
      <c r="F9" s="2" t="n">
        <v>2</v>
      </c>
      <c r="G9" s="2" t="inlineStr">
        <is>
          <t>nr</t>
        </is>
      </c>
      <c r="H9" s="2" t="inlineStr">
        <is>
          <t>No supplier quote - budget fallback rate</t>
        </is>
      </c>
      <c r="I9" s="3" t="n">
        <v>1365</v>
      </c>
      <c r="J9" s="2" t="inlineStr">
        <is>
          <t>SAW</t>
        </is>
      </c>
      <c r="K9" s="3" t="n">
        <v>800</v>
      </c>
      <c r="L9" s="3" t="n">
        <v>320</v>
      </c>
      <c r="M9" s="3">
        <f>I9+K9+L9</f>
        <v/>
      </c>
      <c r="N9" s="2" t="inlineStr"/>
      <c r="O9" s="2" t="inlineStr">
        <is>
          <t>Brocks Hill BoQs.xlsx - 'Windows &amp; Doors' sheet (blank-rate contractor BoQ)</t>
        </is>
      </c>
    </row>
    <row r="10">
      <c r="A10" s="2" t="inlineStr">
        <is>
          <t>Windows</t>
        </is>
      </c>
      <c r="B10" s="2" t="inlineStr">
        <is>
          <t>WIN.E.06</t>
        </is>
      </c>
      <c r="C10" s="2" t="inlineStr">
        <is>
          <t>Windows</t>
        </is>
      </c>
      <c r="D10" s="2" t="inlineStr">
        <is>
          <t>WIN.E.06; window element 1800 x 2100 mm, fixed field</t>
        </is>
      </c>
      <c r="E10" s="2" t="inlineStr">
        <is>
          <t>PPC aluminium, double glazed (assumed - material/system not stated in BoQ)</t>
        </is>
      </c>
      <c r="F10" s="2" t="n">
        <v>1</v>
      </c>
      <c r="G10" s="2" t="inlineStr">
        <is>
          <t>nr</t>
        </is>
      </c>
      <c r="H10" s="2" t="inlineStr">
        <is>
          <t>No supplier quote - budget fallback rate</t>
        </is>
      </c>
      <c r="I10" s="3" t="n">
        <v>1228.5</v>
      </c>
      <c r="J10" s="2" t="inlineStr">
        <is>
          <t>MAW</t>
        </is>
      </c>
      <c r="K10" s="3" t="n">
        <v>500</v>
      </c>
      <c r="L10" s="3" t="n">
        <v>160</v>
      </c>
      <c r="M10" s="3">
        <f>I10+K10+L10</f>
        <v/>
      </c>
      <c r="N10" s="2" t="inlineStr"/>
      <c r="O10" s="2" t="inlineStr">
        <is>
          <t>Brocks Hill BoQs.xlsx - 'Windows &amp; Doors' sheet (blank-rate contractor BoQ)</t>
        </is>
      </c>
    </row>
    <row r="11">
      <c r="A11" s="2" t="inlineStr">
        <is>
          <t>Allowances</t>
        </is>
      </c>
      <c r="B11" s="2" t="inlineStr">
        <is>
          <t>EPDM</t>
        </is>
      </c>
      <c r="C11" s="2" t="inlineStr">
        <is>
          <t>Whole package</t>
        </is>
      </c>
      <c r="D11" s="2" t="inlineStr">
        <is>
          <t>EPDM membrane allowance: 135.56 m2 of frame area at 25.00/m2 (Fenster standard rate)</t>
        </is>
      </c>
      <c r="E11" s="2" t="inlineStr">
        <is>
          <t>EPDM</t>
        </is>
      </c>
      <c r="F11" s="2" t="n">
        <v>1</v>
      </c>
      <c r="G11" s="2" t="inlineStr">
        <is>
          <t>item</t>
        </is>
      </c>
      <c r="H11" s="2" t="inlineStr">
        <is>
          <t>Fenster standard rate</t>
        </is>
      </c>
      <c r="I11" s="3" t="n">
        <v>3388.94</v>
      </c>
      <c r="J11" s="2" t="inlineStr">
        <is>
          <t>-</t>
        </is>
      </c>
      <c r="K11" s="3" t="n">
        <v>0</v>
      </c>
      <c r="L11" s="3" t="n">
        <v>0</v>
      </c>
      <c r="M11" s="3">
        <f>I11+K11+L11</f>
        <v/>
      </c>
      <c r="N11" s="2" t="inlineStr">
        <is>
          <t>BoQ quoted-value list requires EPDMs. Area = sum of all frame areas x qty.</t>
        </is>
      </c>
      <c r="O11" s="2" t="inlineStr">
        <is>
          <t>Brocks Hill BoQs.xlsx - 'Windows &amp; Doors' sheet (blank-rate contractor BoQ)</t>
        </is>
      </c>
    </row>
    <row r="12">
      <c r="A12" s="2" t="inlineStr">
        <is>
          <t>Allowances</t>
        </is>
      </c>
      <c r="B12" s="2" t="inlineStr">
        <is>
          <t>MASTIC</t>
        </is>
      </c>
      <c r="C12" s="2" t="inlineStr">
        <is>
          <t>Whole package</t>
        </is>
      </c>
      <c r="D12" s="2" t="inlineStr">
        <is>
          <t>Mastic/sealant allowance: 284.9 lm of perimeter at 5.00/m (Fenster standard rate)</t>
        </is>
      </c>
      <c r="E12" s="2" t="inlineStr">
        <is>
          <t>Mastic</t>
        </is>
      </c>
      <c r="F12" s="2" t="n">
        <v>1</v>
      </c>
      <c r="G12" s="2" t="inlineStr">
        <is>
          <t>item</t>
        </is>
      </c>
      <c r="H12" s="2" t="inlineStr">
        <is>
          <t>Fenster standard rate</t>
        </is>
      </c>
      <c r="I12" s="3" t="n">
        <v>1424.4</v>
      </c>
      <c r="J12" s="2" t="inlineStr">
        <is>
          <t>-</t>
        </is>
      </c>
      <c r="K12" s="3" t="n">
        <v>0</v>
      </c>
      <c r="L12" s="3" t="n">
        <v>0</v>
      </c>
      <c r="M12" s="3">
        <f>I12+K12+L12</f>
        <v/>
      </c>
      <c r="N12" s="2" t="inlineStr">
        <is>
          <t>Covers external perimeter sealing. Internal flashings/manifestations not included.</t>
        </is>
      </c>
      <c r="O12" s="2" t="inlineStr">
        <is>
          <t>Brocks Hill BoQs.xlsx - 'Windows &amp; Doors' sheet (blank-rate contractor BoQ)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10" customWidth="1" min="4" max="4"/>
    <col width="60" customWidth="1" min="5" max="5"/>
    <col width="52" customWidth="1" min="6" max="6"/>
  </cols>
  <sheetData>
    <row r="1">
      <c r="A1" s="1" t="inlineStr">
        <is>
          <t>Tender Item</t>
        </is>
      </c>
      <c r="B1" s="1" t="inlineStr">
        <is>
          <t>Supplier Quote Reference</t>
        </is>
      </c>
      <c r="C1" s="1" t="inlineStr">
        <is>
          <t>Fenster Pricing Item</t>
        </is>
      </c>
      <c r="D1" s="1" t="inlineStr">
        <is>
          <t>Covered?</t>
        </is>
      </c>
      <c r="E1" s="1" t="inlineStr">
        <is>
          <t>Risk/Query</t>
        </is>
      </c>
      <c r="F1" s="1" t="inlineStr">
        <is>
          <t>Action Required</t>
        </is>
      </c>
    </row>
    <row r="2">
      <c r="A2" s="2" t="inlineStr">
        <is>
          <t>Aluminium windows WIN.E.02/04/05/06</t>
        </is>
      </c>
      <c r="B2" s="2" t="inlineStr">
        <is>
          <t>None supplied</t>
        </is>
      </c>
      <c r="C2" s="2" t="inlineStr">
        <is>
          <t>Budget fallback split-pane rates + MAW/SAW markup</t>
        </is>
      </c>
      <c r="D2" s="2" t="inlineStr">
        <is>
          <t>Partial</t>
        </is>
      </c>
      <c r="E2" s="2" t="inlineStr">
        <is>
          <t>No supplier quote in the pack. Rates are Fenster budget allowances only.</t>
        </is>
      </c>
      <c r="F2" s="2" t="inlineStr">
        <is>
          <t>Send the window schedule to the aluminium supplier for a firm quote before issue.</t>
        </is>
      </c>
    </row>
    <row r="3">
      <c r="A3" s="2" t="inlineStr">
        <is>
          <t>Anti-fingertrap doors ED.0.02 / ED.0.10-14 / WIN.E.01 doors</t>
        </is>
      </c>
      <c r="B3" s="2" t="inlineStr">
        <is>
          <t>None supplied</t>
        </is>
      </c>
      <c r="C3" s="2" t="inlineStr">
        <is>
          <t>Budget fallback door rates + SAD/SADSAW markup</t>
        </is>
      </c>
      <c r="D3" s="2" t="inlineStr">
        <is>
          <t>Partial</t>
        </is>
      </c>
      <c r="E3" s="2" t="inlineStr">
        <is>
          <t>Anti-fingertrap education spec: leaf configuration for the 1810 mm entrance doors and door-in-screen build-ups need confirmation.</t>
        </is>
      </c>
      <c r="F3" s="2" t="inlineStr">
        <is>
          <t>Obtain door supplier quote; confirm leaf/side-panel configuration and ironmongery/panic gear.</t>
        </is>
      </c>
    </row>
    <row r="4">
      <c r="A4" s="2" t="inlineStr">
        <is>
          <t>E/O power assisted entrance door</t>
        </is>
      </c>
      <c r="B4" s="2" t="inlineStr">
        <is>
          <t>None supplied</t>
        </is>
      </c>
      <c r="C4" s="2" t="inlineStr">
        <is>
          <t>Not priced</t>
        </is>
      </c>
      <c r="D4" s="2" t="inlineStr">
        <is>
          <t>No</t>
        </is>
      </c>
      <c r="E4" s="2" t="inlineStr">
        <is>
          <t>Automatic operator package (operator, sensors, safety devices, commissioning) has no rate.</t>
        </is>
      </c>
      <c r="F4" s="2" t="inlineStr">
        <is>
          <t>Get automatic-door supplier quote (e.g. ACA) and add with Fenster markup.</t>
        </is>
      </c>
    </row>
    <row r="5">
      <c r="A5" s="2" t="inlineStr">
        <is>
          <t>E/O FOR EXD.E.02 (03/11/12/13) x4</t>
        </is>
      </c>
      <c r="B5" s="2" t="inlineStr">
        <is>
          <t>BoQ line only</t>
        </is>
      </c>
      <c r="C5" s="2" t="inlineStr">
        <is>
          <t>Not priced</t>
        </is>
      </c>
      <c r="D5" s="2" t="inlineStr">
        <is>
          <t>No</t>
        </is>
      </c>
      <c r="E5" s="2" t="inlineStr">
        <is>
          <t>BoQ wording unclear - appears to relate to the four WIN.E.01 door elements numbered 03/11/12/13.</t>
        </is>
      </c>
      <c r="F5" s="2" t="inlineStr">
        <is>
          <t>Raise RFI with the main contractor to confirm what the extra-over covers.</t>
        </is>
      </c>
    </row>
    <row r="6">
      <c r="A6" s="2" t="inlineStr">
        <is>
          <t>Material/system/colour</t>
        </is>
      </c>
      <c r="B6" s="2" t="inlineStr">
        <is>
          <t>BoQ only</t>
        </is>
      </c>
      <c r="C6" s="2" t="inlineStr">
        <is>
          <t>Assumed PPC aluminium commercial spec</t>
        </is>
      </c>
      <c r="D6" s="2" t="inlineStr">
        <is>
          <t>Partial</t>
        </is>
      </c>
      <c r="E6" s="2" t="inlineStr">
        <is>
          <t>BoQ never states frame material, system or colour. U-values given: windows 1.1, doors 1.2 W/m2K.</t>
        </is>
      </c>
      <c r="F6" s="2" t="inlineStr">
        <is>
          <t>Adam to confirm intended system (e.g. Sheerline/Comar equivalent) and PPC colour.</t>
        </is>
      </c>
    </row>
    <row r="7">
      <c r="A7" s="2" t="inlineStr">
        <is>
          <t>BoQ 'Quoted Value' inclusions</t>
        </is>
      </c>
      <c r="B7" s="2" t="inlineStr">
        <is>
          <t>BoQ quoted-value list</t>
        </is>
      </c>
      <c r="C7" s="2" t="inlineStr">
        <is>
          <t>EPDM + mastic allowances only</t>
        </is>
      </c>
      <c r="D7" s="2" t="inlineStr">
        <is>
          <t>Partial</t>
        </is>
      </c>
      <c r="E7" s="2" t="inlineStr">
        <is>
          <t>BoQ requires access allowance, airtightness 3 m3/h.m2 @50Pa, EPDMs, flashings/reveals, manifestations, safety barriers, Climaguard, glass lifting, obscure glazing, solar control, door supports, internal flashings, panic escape gear and protection. Only EPDM/mastic are allowed for; glass upgrades (Climaguard/solar control/obscure) are NOT in the 55/m2 baseline glass rate.</t>
        </is>
      </c>
      <c r="F7" s="2" t="inlineStr">
        <is>
          <t>Adam to price or allow for the remaining inclusions before issue; glass spec upgrade pricing needed.</t>
        </is>
      </c>
    </row>
    <row r="8">
      <c r="A8" s="2" t="inlineStr">
        <is>
          <t>Installation/prelims/access</t>
        </is>
      </c>
      <c r="B8" s="2" t="inlineStr">
        <is>
          <t>Tender pack only</t>
        </is>
      </c>
      <c r="C8" s="2" t="inlineStr">
        <is>
          <t>Product-code labour allowances only</t>
        </is>
      </c>
      <c r="D8" s="2" t="inlineStr">
        <is>
          <t>Partial</t>
        </is>
      </c>
      <c r="E8" s="2" t="inlineStr">
        <is>
          <t>Only Fenster code labour is included; no preliminaries, access equipment, surveys, protection or attendances quantified.</t>
        </is>
      </c>
      <c r="F8" s="2" t="inlineStr">
        <is>
          <t>Adam to add project prelims/access allowances before client issue.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4" t="inlineStr">
        <is>
          <t>Brocks Hill - Commercial Pricing Summary</t>
        </is>
      </c>
    </row>
    <row r="2">
      <c r="A2" s="5" t="inlineStr">
        <is>
          <t>Basis</t>
        </is>
      </c>
      <c r="B2" s="6" t="inlineStr">
        <is>
          <t>Budget pricing review from the blank-rate contractor BoQ (Windows &amp; Doors sheet). No supplier quote, drawings or specification were supplied, so all rates are Fenster budget fallback allowances.</t>
        </is>
      </c>
    </row>
    <row r="3">
      <c r="A3" s="5" t="inlineStr">
        <is>
          <t>Fallback supplier/material allowance ex VAT</t>
        </is>
      </c>
      <c r="B3" s="7">
        <f>SUMIF('Pricing Document'!A2:A12,"&lt;&gt;Allowances",'Pricing Document'!I2:I12)</f>
        <v/>
      </c>
    </row>
    <row r="4">
      <c r="A4" s="5" t="inlineStr">
        <is>
          <t>Fenster code markup</t>
        </is>
      </c>
      <c r="B4" s="7">
        <f>SUM('Pricing Document'!K2:K12)</f>
        <v/>
      </c>
    </row>
    <row r="5">
      <c r="A5" s="5" t="inlineStr">
        <is>
          <t>Fenster labour allowance</t>
        </is>
      </c>
      <c r="B5" s="7">
        <f>SUM('Pricing Document'!L2:L12)</f>
        <v/>
      </c>
    </row>
    <row r="6">
      <c r="A6" s="5" t="inlineStr">
        <is>
          <t>EPDM allowance</t>
        </is>
      </c>
      <c r="B6" s="7" t="n">
        <v>3388.94</v>
      </c>
    </row>
    <row r="7">
      <c r="A7" s="5" t="inlineStr">
        <is>
          <t>Mastic/sealant allowance</t>
        </is>
      </c>
      <c r="B7" s="7" t="n">
        <v>1424.4</v>
      </c>
    </row>
    <row r="8">
      <c r="A8" s="5" t="inlineStr">
        <is>
          <t>Budget sell total ex VAT</t>
        </is>
      </c>
      <c r="B8" s="7">
        <f>B3+B4+B5+B6+B7</f>
        <v/>
      </c>
    </row>
    <row r="9">
      <c r="A9" s="5" t="inlineStr">
        <is>
          <t>VAT at 20% if applicable</t>
        </is>
      </c>
      <c r="B9" s="7">
        <f>ROUND(B8*0.2,2)</f>
        <v/>
      </c>
    </row>
    <row r="10">
      <c r="A10" s="5" t="inlineStr">
        <is>
          <t>Budget total inc VAT</t>
        </is>
      </c>
      <c r="B10" s="7">
        <f>B8+B9</f>
        <v/>
      </c>
    </row>
    <row r="11">
      <c r="A11" s="5" t="inlineStr">
        <is>
          <t>Not priced / TBC</t>
        </is>
      </c>
      <c r="B11" s="6" t="inlineStr">
        <is>
          <t>E/O power assisted door (1 nr); E/O for EXD.E.02 03/11/12/13 (4 nr); remaining BoQ quoted-value inclusions (manifestations, safety barriers, Climaguard/solar control/obscure glass upgrades, access allowance, glass lifting, door supports, internal flashings, panic gear, protection); preliminaries.</t>
        </is>
      </c>
    </row>
    <row r="12">
      <c r="A12" s="5" t="inlineStr">
        <is>
          <t>Estimator note</t>
        </is>
      </c>
      <c r="B12" s="6" t="inlineStr">
        <is>
          <t>Do not issue as a fixed quote. Obtain supplier quotes for frames/glass and the automatic operator, resolve the RFIs, then re-price.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Assumptions</t>
        </is>
      </c>
    </row>
    <row r="2">
      <c r="A2" s="6" t="inlineStr">
        <is>
          <t>- Frames assumed PPC aluminium commercial spec, double glazed; BoQ does not state material, system or colour.</t>
        </is>
      </c>
    </row>
    <row r="3">
      <c r="A3" s="6" t="inlineStr">
        <is>
          <t>- Windows priced to achieve U 1.1 W/m2K and doors U 1.2 W/m2K as required by the BoQ quoted-value list.</t>
        </is>
      </c>
    </row>
    <row r="4">
      <c r="A4" s="6" t="inlineStr">
        <is>
          <t>- Anti-fingertrap doorsets assumed to be standard education-spec aluminium doors with anti-finger-trap stiles.</t>
        </is>
      </c>
    </row>
    <row r="5">
      <c r="A5" s="6" t="inlineStr">
        <is>
          <t>- WIN.E.01 priced as a combined element: fixed screen + single anti-fingertrap door (SADSAW).</t>
        </is>
      </c>
    </row>
    <row r="6">
      <c r="A6" s="6" t="inlineStr">
        <is>
          <t>- ED.0.10/14 priced as single-leaf doorsets at 1810 mm overall; configuration to be confirmed.</t>
        </is>
      </c>
    </row>
    <row r="7">
      <c r="A7" s="6" t="inlineStr">
        <is>
          <t>- Glass priced at the standard double-glazed baseline; no premium for Climaguard, solar control or obscure glazing.</t>
        </is>
      </c>
    </row>
    <row r="8">
      <c r="A8" s="6" t="inlineStr">
        <is>
          <t>- EPDM and mastic allowances calculated from extracted frame areas/perimeters at Fenster standard rates (25/m2, 5/m).</t>
        </is>
      </c>
    </row>
    <row r="10">
      <c r="A10" s="8" t="inlineStr">
        <is>
          <t>Exclusions</t>
        </is>
      </c>
    </row>
    <row r="11">
      <c r="A11" s="6" t="inlineStr">
        <is>
          <t>- Power assisted door operation (E/O) - excluded until an automatic-door supplier quote is obtained.</t>
        </is>
      </c>
    </row>
    <row r="12">
      <c r="A12" s="6" t="inlineStr">
        <is>
          <t>- E/O FOR EXD.E.02 (03/11/12/13) - excluded pending clarification of scope.</t>
        </is>
      </c>
    </row>
    <row r="13">
      <c r="A13" s="6" t="inlineStr">
        <is>
          <t>- Manifestations, safety barriers, glass lifting equipment, door supports, internal flashings, panic escape gear, protection and access allowance - listed in the BoQ quoted-value section but not priced here.</t>
        </is>
      </c>
    </row>
    <row r="14">
      <c r="A14" s="6" t="inlineStr">
        <is>
          <t>- Preliminaries, scaffolding/MEWPs, builders work, fire stopping and making good.</t>
        </is>
      </c>
    </row>
    <row r="15">
      <c r="A15" s="6" t="inlineStr">
        <is>
          <t>- Structural openings, lintels and any remedial work to reveals.</t>
        </is>
      </c>
    </row>
    <row r="17">
      <c r="A17" s="8" t="inlineStr">
        <is>
          <t>RFIs / Actions</t>
        </is>
      </c>
    </row>
    <row r="18">
      <c r="A18" s="6" t="inlineStr">
        <is>
          <t>- RFI 1: Confirm frame material/system and PPC colour (BoQ does not state them).</t>
        </is>
      </c>
    </row>
    <row r="19">
      <c r="A19" s="6" t="inlineStr">
        <is>
          <t>- RFI 2: Confirm configuration of ED.0.10/14 glazed entrance doors at 1810 mm wide (single leaf + side panel, or leaf-and-a-half?).</t>
        </is>
      </c>
    </row>
    <row r="20">
      <c r="A20" s="6" t="inlineStr">
        <is>
          <t>- RFI 3: Clarify what 'E/O FOR EXD.E.02 (03/11/12/13)' covers and how it should be priced.</t>
        </is>
      </c>
    </row>
    <row r="21">
      <c r="A21" s="6" t="inlineStr">
        <is>
          <t>- RFI 4: Confirm power-assisted door requirement (operator type, activation, safety sensors) and obtain supplier quote.</t>
        </is>
      </c>
    </row>
    <row r="22">
      <c r="A22" s="6" t="inlineStr">
        <is>
          <t>- RFI 5: Confirm glass build-ups for Climaguard/solar control/obscure locations and whether safety barriers/manifestations are in the glazing package.</t>
        </is>
      </c>
    </row>
    <row r="23">
      <c r="A23" s="6" t="inlineStr">
        <is>
          <t>- RFI 6: Request elevations/drawings and the specification - only the BoQ workbook was supplied.</t>
        </is>
      </c>
    </row>
    <row r="24">
      <c r="A24" s="6" t="inlineStr">
        <is>
          <t>- Action: Send window/door schedule to the aluminium supplier for a firm quote before final issue.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4" customWidth="1" min="1" max="1"/>
    <col width="120" customWidth="1" min="2" max="2"/>
  </cols>
  <sheetData>
    <row r="1">
      <c r="A1" s="1" t="inlineStr">
        <is>
          <t>Document</t>
        </is>
      </c>
      <c r="B1" s="1" t="inlineStr">
        <is>
          <t>Use</t>
        </is>
      </c>
    </row>
    <row r="2">
      <c r="A2" s="2" t="inlineStr">
        <is>
          <t>Brocks Hill BoQs.xlsx - sheet 'Windows &amp; Doors'</t>
        </is>
      </c>
      <c r="B2" s="2" t="inlineStr">
        <is>
          <t>Source of truth. Blank-rate contractor BoQ: 9 priced lines extracted (7 dimensioned, 2 extra-over TBC lines); quantities 1+2+4+23+4+2+1 = 37 frame units.</t>
        </is>
      </c>
    </row>
    <row r="3">
      <c r="A3" s="2" t="inlineStr">
        <is>
          <t>BoQ 'Quoted Value' section</t>
        </is>
      </c>
      <c r="B3" s="2" t="inlineStr">
        <is>
          <t>Inclusion checklist the quoted value must cover: access allowance, airtightness 3 m3/h.m2 @50Pa, doors U 1.2, EPDMs, flashings/reveals, manifestations, safety barriers, windows U 1.1, Climaguard, glass lifting, obscure glazing, solar control, door supports, internal flashings, panic escape gear, protection.</t>
        </is>
      </c>
    </row>
    <row r="4">
      <c r="A4" s="2" t="inlineStr">
        <is>
          <t>No other documents supplied</t>
        </is>
      </c>
      <c r="B4" s="2" t="inlineStr">
        <is>
          <t>No drawings, specification, elevations or supplier quotes in this pack - see RFIs. Budget review only.</t>
        </is>
      </c>
    </row>
    <row r="5">
      <c r="A5" s="2" t="inlineStr">
        <is>
          <t>Bot extraction run</t>
        </is>
      </c>
      <c r="B5" s="2" t="inlineStr">
        <is>
          <t>test-results\brocks-hill-run tender-pack-report JSON/CSV (Glazing Quote Assistant v2026.07.15.1); 9/9 BoQ lines verified against the workbook by hand.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2026-07-15T08:54:14Z</dcterms:created>
  <dcterms:modified xsi:type="dcterms:W3CDTF">2026-07-15T08:54:14Z</dcterms:modified>
</cp:coreProperties>
</file>