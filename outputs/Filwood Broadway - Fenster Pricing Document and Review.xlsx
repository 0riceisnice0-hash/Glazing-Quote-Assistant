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Document" sheetId="1" state="visible" r:id="rId1"/>
    <sheet name="Summary &amp; Sp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5" customWidth="1" min="4" max="4"/>
    <col width="15" customWidth="1" min="5" max="5"/>
    <col width="11" customWidth="1" min="6" max="6"/>
    <col width="13" customWidth="1" min="7" max="7"/>
    <col width="15" customWidth="1" min="8" max="8"/>
    <col width="46" customWidth="1" min="9" max="9"/>
    <col width="60" customWidth="1" min="10" max="10"/>
  </cols>
  <sheetData>
    <row r="1">
      <c r="A1" s="1" t="inlineStr">
        <is>
          <t>Ref</t>
        </is>
      </c>
      <c r="B1" s="1" t="inlineStr">
        <is>
          <t>Size S.O.</t>
        </is>
      </c>
      <c r="C1" s="1" t="inlineStr">
        <is>
          <t>Area m2</t>
        </is>
      </c>
      <c r="D1" s="1" t="inlineStr">
        <is>
          <t>Qty</t>
        </is>
      </c>
      <c r="E1" s="1" t="inlineStr">
        <is>
          <t>Supply (benchmark + extras)</t>
        </is>
      </c>
      <c r="F1" s="1" t="inlineStr">
        <is>
          <t>Margin 15%</t>
        </is>
      </c>
      <c r="G1" s="1" t="inlineStr">
        <is>
          <t>Labour (CW GBP150/m2)</t>
        </is>
      </c>
      <c r="H1" s="1" t="inlineStr">
        <is>
          <t>Provisional Sum ex VAT</t>
        </is>
      </c>
      <c r="I1" s="1" t="inlineStr">
        <is>
          <t>Rate basis (register provenance)</t>
        </is>
      </c>
      <c r="J1" s="1" t="inlineStr">
        <is>
          <t>Screen notes</t>
        </is>
      </c>
    </row>
    <row r="2">
      <c r="A2" s="2" t="inlineStr">
        <is>
          <t>ED-04</t>
        </is>
      </c>
      <c r="B2" s="2" t="inlineStr">
        <is>
          <t>4930 x 3570</t>
        </is>
      </c>
      <c r="C2" s="2" t="n">
        <v>17.6</v>
      </c>
      <c r="D2" s="2" t="n">
        <v>4</v>
      </c>
      <c r="E2" s="3" t="n">
        <v>30884</v>
      </c>
      <c r="F2" s="3" t="n">
        <v>4632.6</v>
      </c>
      <c r="G2" s="3" t="n">
        <v>10560.06</v>
      </c>
      <c r="H2" s="3" t="n">
        <v>46076.68</v>
      </c>
      <c r="I2" s="2" t="inlineStr">
        <is>
          <t>Aplus glazed screen &gt;6m2 median GBP359.60 (n=42) + GBP45/m2 U1.0/solar uplift + entrance doorset ironmongery/closer GBP350; mesh ventilation zone + spandrel panels GBP250; 15% margin; CW labour GBP150/m2</t>
        </is>
      </c>
      <c r="J2" s="2" t="inlineStr">
        <is>
          <t>Lower shopfronts. Single outward door (position varies per GA), interchangeable panel zone, integrated awning zone, signage + ventilation zones with mesh, panels min 1.2m.</t>
        </is>
      </c>
    </row>
    <row r="3">
      <c r="A3" s="2" t="inlineStr">
        <is>
          <t>ED-05</t>
        </is>
      </c>
      <c r="B3" s="2" t="inlineStr">
        <is>
          <t>5550 x 2970</t>
        </is>
      </c>
      <c r="C3" s="2" t="n">
        <v>16.48</v>
      </c>
      <c r="D3" s="2" t="n">
        <v>2</v>
      </c>
      <c r="E3" s="3" t="n">
        <v>14838.45</v>
      </c>
      <c r="F3" s="3" t="n">
        <v>2225.77</v>
      </c>
      <c r="G3" s="3" t="n">
        <v>4945.05</v>
      </c>
      <c r="H3" s="3" t="n">
        <v>22009.26</v>
      </c>
      <c r="I3" s="2" t="inlineStr">
        <is>
          <t>Aplus glazed screen &gt;6m2 median GBP359.60 (n=42) + GBP45/m2 U1.0/solar uplift + DOUBLE outward doorset ironmongery (&gt;60 occupants per OFR) GBP500; mesh ventilation zone + spandrel panels GBP250; 15% margin; CW labour GBP150/m2</t>
        </is>
      </c>
      <c r="J3" s="2" t="inlineStr">
        <is>
          <t>Upper shopfronts. Double outward-opening doors required (&gt;60 occupants), signage + ventilation zones.</t>
        </is>
      </c>
    </row>
    <row r="4">
      <c r="A4" s="2" t="inlineStr">
        <is>
          <t>ED-06</t>
        </is>
      </c>
      <c r="B4" s="2" t="inlineStr">
        <is>
          <t>6315 x 3105</t>
        </is>
      </c>
      <c r="C4" s="2" t="n">
        <v>19.61</v>
      </c>
      <c r="D4" s="2" t="n">
        <v>1</v>
      </c>
      <c r="E4" s="3" t="n">
        <v>10333.43</v>
      </c>
      <c r="F4" s="3" t="n">
        <v>1550.01</v>
      </c>
      <c r="G4" s="3" t="n">
        <v>2941.21</v>
      </c>
      <c r="H4" s="3" t="n">
        <v>14824.65</v>
      </c>
      <c r="I4" s="2" t="inlineStr">
        <is>
          <t>Aplus glazed screen &gt;6m2 median GBP359.60 (n=42) + GBP45/m2 U1.0/solar uplift + LPS 1175 SR2 security core doorset premium GBP1800; entrance ironmongery/closer GBP350; spandrel for access control + signage glass GBP250; 15% margin; CW labour GBP150/m2</t>
        </is>
      </c>
      <c r="J4" s="2" t="inlineStr">
        <is>
          <t>Core entrance + retail. Acoustic &gt;= Rw 32 dB; LPS 1175 SR2; key-fob access control (interface only - devices by others); fire service box + dry riser housed in spandrel (builders work by others); 'NO.4-16 FB' vinyl by others.</t>
        </is>
      </c>
    </row>
    <row r="5">
      <c r="A5" s="2" t="inlineStr">
        <is>
          <t>ALLOW</t>
        </is>
      </c>
      <c r="B5" s="2" t="inlineStr">
        <is>
          <t>-</t>
        </is>
      </c>
      <c r="C5" s="2" t="inlineStr"/>
      <c r="D5" s="2" t="n">
        <v>1</v>
      </c>
      <c r="E5" s="2" t="inlineStr"/>
      <c r="F5" s="2" t="inlineStr"/>
      <c r="G5" s="2" t="inlineStr"/>
      <c r="H5" s="3" t="n">
        <v>400</v>
      </c>
      <c r="I5" s="2" t="inlineStr">
        <is>
          <t>Allowance</t>
        </is>
      </c>
      <c r="J5" s="2" t="inlineStr">
        <is>
          <t>Manifestation: two bands 850-1000 &amp; 1400-1600mm to all clear glazing (Approved Doc B/K per drawing notes)</t>
        </is>
      </c>
    </row>
    <row r="6">
      <c r="A6" s="2" t="inlineStr">
        <is>
          <t>ALLOW</t>
        </is>
      </c>
      <c r="B6" s="2" t="inlineStr">
        <is>
          <t>-</t>
        </is>
      </c>
      <c r="C6" s="2" t="inlineStr"/>
      <c r="D6" s="2" t="n">
        <v>1</v>
      </c>
      <c r="E6" s="2" t="inlineStr"/>
      <c r="F6" s="2" t="inlineStr"/>
      <c r="G6" s="2" t="inlineStr"/>
      <c r="H6" s="3" t="n">
        <v>1500</v>
      </c>
      <c r="I6" s="2" t="inlineStr">
        <is>
          <t>Allowance</t>
        </is>
      </c>
      <c r="J6" s="2" t="inlineStr">
        <is>
          <t>D&amp;B contractor's-design allowance: fabrication drawings, calcs, PI input (design finalised with BCC High Street team)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>
      <c r="A1" s="4" t="inlineStr">
        <is>
          <t>BCC 4-16 Filwood Broadway (Stepnell) - Shopfront Provisional Sums</t>
        </is>
      </c>
    </row>
    <row r="2">
      <c r="A2" s="5" t="inlineStr">
        <is>
          <t>DEADLINE</t>
        </is>
      </c>
      <c r="B2" s="6" t="inlineStr">
        <is>
          <t>Quotation by EMAIL to Adam Warner (adam.warner@stepnell.co.uk, 07482 812707) by 20 JULY 2026. Bid S25233B.</t>
        </is>
      </c>
    </row>
    <row r="3">
      <c r="A3" s="5" t="inlineStr">
        <is>
          <t>Contract</t>
        </is>
      </c>
      <c r="B3" s="6" t="inlineStr">
        <is>
          <t>D&amp;B 2024; main programme 09/11/2026 - 28/06/2027; subcontract start TBC; LAD GBP1,358/wk; retention 3%; maintenance 12 months; PI required (contractor's design).</t>
        </is>
      </c>
    </row>
    <row r="4">
      <c r="A4" s="5" t="inlineStr">
        <is>
          <t>Scope</t>
        </is>
      </c>
      <c r="B4" s="6" t="inlineStr">
        <is>
          <t>7nr Aluprof aluminium framed shopfront screens with mill-finish spandrels and PPC doorsets: ED-04 (4930x3570) x4 lower, ED-05 (5550x2970) x2 upper with double outward doors, ED-06 (6315x3105) core entrance + retail. Approx 123 m2 total.</t>
        </is>
      </c>
    </row>
    <row r="5">
      <c r="A5" s="5" t="inlineStr">
        <is>
          <t>PROVISIONAL SUM basis</t>
        </is>
      </c>
      <c r="B5" s="6" t="inlineStr">
        <is>
          <t>Trade Bill note: drawing 31551 is 'illustrative purposes only' - shopfronts to be priced as CONTRACTOR'S PROVISIONAL SUMS (Work Section A54); design to be finalised with BCC High Street team/tenants. DO NOT double-count in the tender.</t>
        </is>
      </c>
    </row>
    <row r="6">
      <c r="A6" s="5" t="inlineStr">
        <is>
          <t>Provisional sums total ex VAT</t>
        </is>
      </c>
      <c r="B6" s="7">
        <f>SUM('Pricing Document'!H2:H6)</f>
        <v/>
      </c>
    </row>
    <row r="7">
      <c r="A7" s="5" t="inlineStr">
        <is>
          <t>VAT at 20% if applicable</t>
        </is>
      </c>
      <c r="B7" s="7">
        <f>ROUND(B6*0.2,2)</f>
        <v/>
      </c>
    </row>
    <row r="8">
      <c r="A8" s="5" t="inlineStr">
        <is>
          <t>Total inc VAT</t>
        </is>
      </c>
      <c r="B8" s="7">
        <f>B6+B7</f>
        <v/>
      </c>
    </row>
    <row r="9">
      <c r="A9" s="5" t="inlineStr">
        <is>
          <t>Spec captured</t>
        </is>
      </c>
      <c r="B9" s="6" t="inlineStr">
        <is>
          <t>System: Aluprof shopfront (External Materials Schedule 00700 P00 p41). U-value 1.0 W/m2K; G-value 0.5-0.6 (solar control); safety glass BS EN 12600/BS 6262; core entrance LPS 1175 SR2 + acoustic &gt;=Rw 32dB; level thresholds; clear openings ADB M4(2); Approved Docs M/K/B; panels min 1.2m; door head above canopy datum intentional; manifestation two bands; RAL colours per materials schedule.</t>
        </is>
      </c>
    </row>
    <row r="10">
      <c r="A10" s="5" t="inlineStr">
        <is>
          <t>Exclusions</t>
        </is>
      </c>
      <c r="B10" s="6" t="inlineStr">
        <is>
          <t>Access control devices/fob readers and connections (interface prep only); fire service box + dry riser (by others); signage/vinyls (by others - signage zone glass included); structural openings/builders work; site logistics beyond normal; final design development costs beyond allowance.</t>
        </is>
      </c>
    </row>
    <row r="11">
      <c r="A11" s="5" t="inlineStr">
        <is>
          <t>Engine cross-check</t>
        </is>
      </c>
      <c r="B11" s="6" t="inlineStr">
        <is>
          <t>Mary's native engine (flat GBP500/m2 alu + ELAW markup) prices the same 7 screens at GBP75,251 supply - our provisional sums sit sensibly above once U1.0/SR2/acoustic premiums, margin and CW labour are added.</t>
        </is>
      </c>
    </row>
    <row r="12">
      <c r="A12" s="5" t="inlineStr">
        <is>
          <t>Before contract</t>
        </is>
      </c>
      <c r="B12" s="6" t="inlineStr">
        <is>
          <t>Site visit (deemed); confirm door positions per GA; SR2 doorset supplier quote; Aluprof fabricator quote; confirm ventilation mesh spec and awning interface.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2026-07-17T13:59:32Z</dcterms:created>
  <dcterms:modified xsi:type="dcterms:W3CDTF">2026-07-17T13:59:32Z</dcterms:modified>
</cp:coreProperties>
</file>