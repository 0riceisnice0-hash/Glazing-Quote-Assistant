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Documen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2" customWidth="1" min="3" max="3"/>
    <col width="5" customWidth="1" min="4" max="4"/>
    <col width="8" customWidth="1" min="5" max="5"/>
    <col width="14" customWidth="1" min="6" max="6"/>
    <col width="11" customWidth="1" min="7" max="7"/>
    <col width="13" customWidth="1" min="8" max="8"/>
    <col width="52" customWidth="1" min="9" max="9"/>
  </cols>
  <sheetData>
    <row r="1">
      <c r="A1" s="1" t="inlineStr">
        <is>
          <t>Ref</t>
        </is>
      </c>
      <c r="B1" s="1" t="inlineStr">
        <is>
          <t>Floor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Area m2</t>
        </is>
      </c>
      <c r="F1" s="1" t="inlineStr">
        <is>
          <t>Supply (benchmark) ex VAT</t>
        </is>
      </c>
      <c r="G1" s="1" t="inlineStr">
        <is>
          <t>Install labour</t>
        </is>
      </c>
      <c r="H1" s="1" t="inlineStr">
        <is>
          <t>Sell ex VAT</t>
        </is>
      </c>
      <c r="I1" s="1" t="inlineStr">
        <is>
          <t>Rate basis (register provenance)</t>
        </is>
      </c>
    </row>
    <row r="2">
      <c r="A2" s="2" t="inlineStr">
        <is>
          <t>WG-01</t>
        </is>
      </c>
      <c r="B2" s="2" t="inlineStr">
        <is>
          <t>GF-FF</t>
        </is>
      </c>
      <c r="C2" s="2" t="inlineStr">
        <is>
          <t>Alu screen 2709x5100 - Stair screen; 3nr NSHEV AOV top vents linked to fire alarm; 900mm render panel zone below</t>
        </is>
      </c>
      <c r="D2" s="2" t="n">
        <v>1</v>
      </c>
      <c r="E2" s="2" t="n">
        <v>13.82</v>
      </c>
      <c r="F2" s="3" t="n">
        <v>8312.9</v>
      </c>
      <c r="G2" s="3" t="n">
        <v>400</v>
      </c>
      <c r="H2" s="3">
        <f>F2+G2</f>
        <v/>
      </c>
      <c r="I2" s="2" t="inlineStr">
        <is>
          <t>BSW alu casement glazed [&gt;6] median (register) + safety-glass uplift GBP25/m2 + hardware allowances</t>
        </is>
      </c>
    </row>
    <row r="3">
      <c r="A3" s="2" t="inlineStr">
        <is>
          <t>WG-33*</t>
        </is>
      </c>
      <c r="B3" s="2" t="inlineStr">
        <is>
          <t>GF-FF</t>
        </is>
      </c>
      <c r="C3" s="2" t="inlineStr">
        <is>
          <t>Alu screen 1689x4590 - Stair screen; 2nr NSHEV AOV top vents linked to fire alarm (ref label unclear on 005 - RFI</t>
        </is>
      </c>
      <c r="D3" s="2" t="n">
        <v>1</v>
      </c>
      <c r="E3" s="2" t="n">
        <v>7.75</v>
      </c>
      <c r="F3" s="3" t="n">
        <v>4996.11</v>
      </c>
      <c r="G3" s="3" t="n">
        <v>400</v>
      </c>
      <c r="H3" s="3">
        <f>F3+G3</f>
        <v/>
      </c>
      <c r="I3" s="2" t="inlineStr">
        <is>
          <t>BSW alu casement glazed [&gt;6] median (register) + safety-glass uplift GBP25/m2 + hardware allowances</t>
        </is>
      </c>
    </row>
    <row r="4">
      <c r="A4" s="2" t="inlineStr">
        <is>
          <t>WG-31</t>
        </is>
      </c>
      <c r="B4" s="2" t="inlineStr">
        <is>
          <t>GF</t>
        </is>
      </c>
      <c r="C4" s="2" t="inlineStr">
        <is>
          <t>Alu screen 1447x2410 - Fanlight + fixed + lower panel; part of 4840 entrance screen with DG-11</t>
        </is>
      </c>
      <c r="D4" s="2" t="n">
        <v>1</v>
      </c>
      <c r="E4" s="2" t="n">
        <v>3.49</v>
      </c>
      <c r="F4" s="3" t="n">
        <v>1804.18</v>
      </c>
      <c r="G4" s="3" t="n">
        <v>400</v>
      </c>
      <c r="H4" s="3">
        <f>F4+G4</f>
        <v/>
      </c>
      <c r="I4" s="2" t="inlineStr">
        <is>
          <t>BSW alu casement glazed [3-6] median (register) + safety-glass uplift GBP25/m2 + hardware allowances</t>
        </is>
      </c>
    </row>
    <row r="5">
      <c r="A5" s="2" t="inlineStr">
        <is>
          <t>WG-32</t>
        </is>
      </c>
      <c r="B5" s="2" t="inlineStr">
        <is>
          <t>GF</t>
        </is>
      </c>
      <c r="C5" s="2" t="inlineStr">
        <is>
          <t>Alu screen 1447x2410 - Fanlight + fixed + lower panel; part of 4840 entrance screen with DG-11</t>
        </is>
      </c>
      <c r="D5" s="2" t="n">
        <v>1</v>
      </c>
      <c r="E5" s="2" t="n">
        <v>3.49</v>
      </c>
      <c r="F5" s="3" t="n">
        <v>1804.18</v>
      </c>
      <c r="G5" s="3" t="n">
        <v>400</v>
      </c>
      <c r="H5" s="3">
        <f>F5+G5</f>
        <v/>
      </c>
      <c r="I5" s="2" t="inlineStr">
        <is>
          <t>BSW alu casement glazed [3-6] median (register) + safety-glass uplift GBP25/m2 + hardware allowances</t>
        </is>
      </c>
    </row>
    <row r="6">
      <c r="A6" s="2" t="inlineStr">
        <is>
          <t>WG-02</t>
        </is>
      </c>
      <c r="B6" s="2" t="inlineStr">
        <is>
          <t>GF</t>
        </is>
      </c>
      <c r="C6" s="2" t="inlineStr">
        <is>
          <t>uPVC win 2372x1140 - Top-hung fanlight over fixed; obscure glazed</t>
        </is>
      </c>
      <c r="D6" s="2" t="n">
        <v>1</v>
      </c>
      <c r="E6" s="2" t="n">
        <v>2.7</v>
      </c>
      <c r="F6" s="3" t="n">
        <v>641.3200000000001</v>
      </c>
      <c r="G6" s="3" t="n">
        <v>160</v>
      </c>
      <c r="H6" s="3">
        <f>F6+G6</f>
        <v/>
      </c>
      <c r="I6" s="2" t="inlineStr">
        <is>
          <t>BSW uPVC casement glazed [1.5-3] median (register) + safety-glass uplift GBP25/m2 + hardware allowances</t>
        </is>
      </c>
    </row>
    <row r="7">
      <c r="A7" s="2" t="inlineStr">
        <is>
          <t>WG-03</t>
        </is>
      </c>
      <c r="B7" s="2" t="inlineStr">
        <is>
          <t>GF</t>
        </is>
      </c>
      <c r="C7" s="2" t="inlineStr">
        <is>
          <t>uPVC win 2372x1140 - Top-hung fanlight over fixed; obscure glazed</t>
        </is>
      </c>
      <c r="D7" s="2" t="n">
        <v>1</v>
      </c>
      <c r="E7" s="2" t="n">
        <v>2.7</v>
      </c>
      <c r="F7" s="3" t="n">
        <v>641.3200000000001</v>
      </c>
      <c r="G7" s="3" t="n">
        <v>160</v>
      </c>
      <c r="H7" s="3">
        <f>F7+G7</f>
        <v/>
      </c>
      <c r="I7" s="2" t="inlineStr">
        <is>
          <t>BSW uPVC casement glazed [1.5-3] median (register) + safety-glass uplift GBP25/m2 + hardware allowances</t>
        </is>
      </c>
    </row>
    <row r="8">
      <c r="A8" s="2" t="inlineStr">
        <is>
          <t>WG-04</t>
        </is>
      </c>
      <c r="B8" s="2" t="inlineStr">
        <is>
          <t>GF</t>
        </is>
      </c>
      <c r="C8" s="2" t="inlineStr">
        <is>
          <t>uPVC win 2378x1140 - Top-hung fanlight over fixed; obscure glazed</t>
        </is>
      </c>
      <c r="D8" s="2" t="n">
        <v>1</v>
      </c>
      <c r="E8" s="2" t="n">
        <v>2.71</v>
      </c>
      <c r="F8" s="3" t="n">
        <v>642.76</v>
      </c>
      <c r="G8" s="3" t="n">
        <v>160</v>
      </c>
      <c r="H8" s="3">
        <f>F8+G8</f>
        <v/>
      </c>
      <c r="I8" s="2" t="inlineStr">
        <is>
          <t>BSW uPVC casement glazed [1.5-3] median (register) + safety-glass uplift GBP25/m2 + hardware allowances</t>
        </is>
      </c>
    </row>
    <row r="9">
      <c r="A9" s="2" t="inlineStr">
        <is>
          <t>WG-05</t>
        </is>
      </c>
      <c r="B9" s="2" t="inlineStr">
        <is>
          <t>GF</t>
        </is>
      </c>
      <c r="C9" s="2" t="inlineStr">
        <is>
          <t>uPVC win 2378x1140 - Top-hung fanlight over fixed; obscure glazed</t>
        </is>
      </c>
      <c r="D9" s="2" t="n">
        <v>1</v>
      </c>
      <c r="E9" s="2" t="n">
        <v>2.71</v>
      </c>
      <c r="F9" s="3" t="n">
        <v>642.76</v>
      </c>
      <c r="G9" s="3" t="n">
        <v>160</v>
      </c>
      <c r="H9" s="3">
        <f>F9+G9</f>
        <v/>
      </c>
      <c r="I9" s="2" t="inlineStr">
        <is>
          <t>BSW uPVC casement glazed [1.5-3] median (register) + safety-glass uplift GBP25/m2 + hardware allowances</t>
        </is>
      </c>
    </row>
    <row r="10">
      <c r="A10" s="2" t="inlineStr">
        <is>
          <t>WG-06</t>
        </is>
      </c>
      <c r="B10" s="2" t="inlineStr">
        <is>
          <t>GF</t>
        </is>
      </c>
      <c r="C10" s="2" t="inlineStr">
        <is>
          <t>uPVC win 2378x1140 - Top-hung fanlight over fixed; obscure glazed</t>
        </is>
      </c>
      <c r="D10" s="2" t="n">
        <v>1</v>
      </c>
      <c r="E10" s="2" t="n">
        <v>2.71</v>
      </c>
      <c r="F10" s="3" t="n">
        <v>642.76</v>
      </c>
      <c r="G10" s="3" t="n">
        <v>160</v>
      </c>
      <c r="H10" s="3">
        <f>F10+G10</f>
        <v/>
      </c>
      <c r="I10" s="2" t="inlineStr">
        <is>
          <t>BSW uPVC casement glazed [1.5-3] median (register) + safety-glass uplift GBP25/m2 + hardware allowances</t>
        </is>
      </c>
    </row>
    <row r="11">
      <c r="A11" s="2" t="inlineStr">
        <is>
          <t>WG-07</t>
        </is>
      </c>
      <c r="B11" s="2" t="inlineStr">
        <is>
          <t>GF</t>
        </is>
      </c>
      <c r="C11" s="2" t="inlineStr">
        <is>
          <t>uPVC win 2372x1140 - Top-hung fanlight over fixed; obscure glazed</t>
        </is>
      </c>
      <c r="D11" s="2" t="n">
        <v>1</v>
      </c>
      <c r="E11" s="2" t="n">
        <v>2.7</v>
      </c>
      <c r="F11" s="3" t="n">
        <v>641.3200000000001</v>
      </c>
      <c r="G11" s="3" t="n">
        <v>160</v>
      </c>
      <c r="H11" s="3">
        <f>F11+G11</f>
        <v/>
      </c>
      <c r="I11" s="2" t="inlineStr">
        <is>
          <t>BSW uPVC casement glazed [1.5-3] median (register) + safety-glass uplift GBP25/m2 + hardware allowances</t>
        </is>
      </c>
    </row>
    <row r="12">
      <c r="A12" s="2" t="inlineStr">
        <is>
          <t>WG-08</t>
        </is>
      </c>
      <c r="B12" s="2" t="inlineStr">
        <is>
          <t>GF</t>
        </is>
      </c>
      <c r="C12" s="2" t="inlineStr">
        <is>
          <t>uPVC win 2372x1140 - Top-hung fanlight over fixed; obscure glazed</t>
        </is>
      </c>
      <c r="D12" s="2" t="n">
        <v>1</v>
      </c>
      <c r="E12" s="2" t="n">
        <v>2.7</v>
      </c>
      <c r="F12" s="3" t="n">
        <v>641.3200000000001</v>
      </c>
      <c r="G12" s="3" t="n">
        <v>160</v>
      </c>
      <c r="H12" s="3">
        <f>F12+G12</f>
        <v/>
      </c>
      <c r="I12" s="2" t="inlineStr">
        <is>
          <t>BSW uPVC casement glazed [1.5-3] median (register) + safety-glass uplift GBP25/m2 + hardware allowances</t>
        </is>
      </c>
    </row>
    <row r="13">
      <c r="A13" s="2" t="inlineStr">
        <is>
          <t>WG-10</t>
        </is>
      </c>
      <c r="B13" s="2" t="inlineStr">
        <is>
          <t>GF</t>
        </is>
      </c>
      <c r="C13" s="2" t="inlineStr">
        <is>
          <t>uPVC win 2372x1140 - Top-hung fanlight over fixed; obscure glazed</t>
        </is>
      </c>
      <c r="D13" s="2" t="n">
        <v>1</v>
      </c>
      <c r="E13" s="2" t="n">
        <v>2.7</v>
      </c>
      <c r="F13" s="3" t="n">
        <v>641.3200000000001</v>
      </c>
      <c r="G13" s="3" t="n">
        <v>160</v>
      </c>
      <c r="H13" s="3">
        <f>F13+G13</f>
        <v/>
      </c>
      <c r="I13" s="2" t="inlineStr">
        <is>
          <t>BSW uPVC casement glazed [1.5-3] median (register) + safety-glass uplift GBP25/m2 + hardware allowances</t>
        </is>
      </c>
    </row>
    <row r="14">
      <c r="A14" s="2" t="inlineStr">
        <is>
          <t>WF-01</t>
        </is>
      </c>
      <c r="B14" s="2" t="inlineStr">
        <is>
          <t>FF</t>
        </is>
      </c>
      <c r="C14" s="2" t="inlineStr">
        <is>
          <t>uPVC win 2372x1140 - Top-hung fanlight over fixed; obscure glazed</t>
        </is>
      </c>
      <c r="D14" s="2" t="n">
        <v>1</v>
      </c>
      <c r="E14" s="2" t="n">
        <v>2.7</v>
      </c>
      <c r="F14" s="3" t="n">
        <v>641.3200000000001</v>
      </c>
      <c r="G14" s="3" t="n">
        <v>160</v>
      </c>
      <c r="H14" s="3">
        <f>F14+G14</f>
        <v/>
      </c>
      <c r="I14" s="2" t="inlineStr">
        <is>
          <t>BSW uPVC casement glazed [1.5-3] median (register) + safety-glass uplift GBP25/m2 + hardware allowances</t>
        </is>
      </c>
    </row>
    <row r="15">
      <c r="A15" s="2" t="inlineStr">
        <is>
          <t>WF-02</t>
        </is>
      </c>
      <c r="B15" s="2" t="inlineStr">
        <is>
          <t>FF</t>
        </is>
      </c>
      <c r="C15" s="2" t="inlineStr">
        <is>
          <t>uPVC win 2372x1140 - Top-hung fanlight over fixed; obscure glazed</t>
        </is>
      </c>
      <c r="D15" s="2" t="n">
        <v>1</v>
      </c>
      <c r="E15" s="2" t="n">
        <v>2.7</v>
      </c>
      <c r="F15" s="3" t="n">
        <v>641.3200000000001</v>
      </c>
      <c r="G15" s="3" t="n">
        <v>160</v>
      </c>
      <c r="H15" s="3">
        <f>F15+G15</f>
        <v/>
      </c>
      <c r="I15" s="2" t="inlineStr">
        <is>
          <t>BSW uPVC casement glazed [1.5-3] median (register) + safety-glass uplift GBP25/m2 + hardware allowances</t>
        </is>
      </c>
    </row>
    <row r="16">
      <c r="A16" s="2" t="inlineStr">
        <is>
          <t>WF-03</t>
        </is>
      </c>
      <c r="B16" s="2" t="inlineStr">
        <is>
          <t>FF</t>
        </is>
      </c>
      <c r="C16" s="2" t="inlineStr">
        <is>
          <t>uPVC win 2378x1140 - Top-hung fanlight over fixed; obscure glazed</t>
        </is>
      </c>
      <c r="D16" s="2" t="n">
        <v>1</v>
      </c>
      <c r="E16" s="2" t="n">
        <v>2.71</v>
      </c>
      <c r="F16" s="3" t="n">
        <v>642.76</v>
      </c>
      <c r="G16" s="3" t="n">
        <v>160</v>
      </c>
      <c r="H16" s="3">
        <f>F16+G16</f>
        <v/>
      </c>
      <c r="I16" s="2" t="inlineStr">
        <is>
          <t>BSW uPVC casement glazed [1.5-3] median (register) + safety-glass uplift GBP25/m2 + hardware allowances</t>
        </is>
      </c>
    </row>
    <row r="17">
      <c r="A17" s="2" t="inlineStr">
        <is>
          <t>WF-04</t>
        </is>
      </c>
      <c r="B17" s="2" t="inlineStr">
        <is>
          <t>FF</t>
        </is>
      </c>
      <c r="C17" s="2" t="inlineStr">
        <is>
          <t>uPVC win 2378x1140 - Top-hung fanlight over fixed; obscure glazed</t>
        </is>
      </c>
      <c r="D17" s="2" t="n">
        <v>1</v>
      </c>
      <c r="E17" s="2" t="n">
        <v>2.71</v>
      </c>
      <c r="F17" s="3" t="n">
        <v>642.76</v>
      </c>
      <c r="G17" s="3" t="n">
        <v>160</v>
      </c>
      <c r="H17" s="3">
        <f>F17+G17</f>
        <v/>
      </c>
      <c r="I17" s="2" t="inlineStr">
        <is>
          <t>BSW uPVC casement glazed [1.5-3] median (register) + safety-glass uplift GBP25/m2 + hardware allowances</t>
        </is>
      </c>
    </row>
    <row r="18">
      <c r="A18" s="2" t="inlineStr">
        <is>
          <t>WF-05</t>
        </is>
      </c>
      <c r="B18" s="2" t="inlineStr">
        <is>
          <t>FF</t>
        </is>
      </c>
      <c r="C18" s="2" t="inlineStr">
        <is>
          <t>uPVC win 2378x1140 - Top-hung fanlight over fixed; obscure glazed</t>
        </is>
      </c>
      <c r="D18" s="2" t="n">
        <v>1</v>
      </c>
      <c r="E18" s="2" t="n">
        <v>2.71</v>
      </c>
      <c r="F18" s="3" t="n">
        <v>642.76</v>
      </c>
      <c r="G18" s="3" t="n">
        <v>160</v>
      </c>
      <c r="H18" s="3">
        <f>F18+G18</f>
        <v/>
      </c>
      <c r="I18" s="2" t="inlineStr">
        <is>
          <t>BSW uPVC casement glazed [1.5-3] median (register) + safety-glass uplift GBP25/m2 + hardware allowances</t>
        </is>
      </c>
    </row>
    <row r="19">
      <c r="A19" s="2" t="inlineStr">
        <is>
          <t>WF-06</t>
        </is>
      </c>
      <c r="B19" s="2" t="inlineStr">
        <is>
          <t>FF</t>
        </is>
      </c>
      <c r="C19" s="2" t="inlineStr">
        <is>
          <t>uPVC win 2372x1140 - Top-hung fanlight over fixed; obscure glazed</t>
        </is>
      </c>
      <c r="D19" s="2" t="n">
        <v>1</v>
      </c>
      <c r="E19" s="2" t="n">
        <v>2.7</v>
      </c>
      <c r="F19" s="3" t="n">
        <v>641.3200000000001</v>
      </c>
      <c r="G19" s="3" t="n">
        <v>160</v>
      </c>
      <c r="H19" s="3">
        <f>F19+G19</f>
        <v/>
      </c>
      <c r="I19" s="2" t="inlineStr">
        <is>
          <t>BSW uPVC casement glazed [1.5-3] median (register) + safety-glass uplift GBP25/m2 + hardware allowances</t>
        </is>
      </c>
    </row>
    <row r="20">
      <c r="A20" s="2" t="inlineStr">
        <is>
          <t>WF-07</t>
        </is>
      </c>
      <c r="B20" s="2" t="inlineStr">
        <is>
          <t>FF</t>
        </is>
      </c>
      <c r="C20" s="2" t="inlineStr">
        <is>
          <t>uPVC win 2378x1140 - Top-hung fanlight over fixed; obscure glazed</t>
        </is>
      </c>
      <c r="D20" s="2" t="n">
        <v>1</v>
      </c>
      <c r="E20" s="2" t="n">
        <v>2.71</v>
      </c>
      <c r="F20" s="3" t="n">
        <v>642.76</v>
      </c>
      <c r="G20" s="3" t="n">
        <v>160</v>
      </c>
      <c r="H20" s="3">
        <f>F20+G20</f>
        <v/>
      </c>
      <c r="I20" s="2" t="inlineStr">
        <is>
          <t>BSW uPVC casement glazed [1.5-3] median (register) + safety-glass uplift GBP25/m2 + hardware allowances</t>
        </is>
      </c>
    </row>
    <row r="21">
      <c r="A21" s="2" t="inlineStr">
        <is>
          <t>WF-08</t>
        </is>
      </c>
      <c r="B21" s="2" t="inlineStr">
        <is>
          <t>FF</t>
        </is>
      </c>
      <c r="C21" s="2" t="inlineStr">
        <is>
          <t>uPVC win 2372x1140 - Top-hung fanlight over fixed; obscure glazed</t>
        </is>
      </c>
      <c r="D21" s="2" t="n">
        <v>1</v>
      </c>
      <c r="E21" s="2" t="n">
        <v>2.7</v>
      </c>
      <c r="F21" s="3" t="n">
        <v>641.3200000000001</v>
      </c>
      <c r="G21" s="3" t="n">
        <v>160</v>
      </c>
      <c r="H21" s="3">
        <f>F21+G21</f>
        <v/>
      </c>
      <c r="I21" s="2" t="inlineStr">
        <is>
          <t>BSW uPVC casement glazed [1.5-3] median (register) + safety-glass uplift GBP25/m2 + hardware allowances</t>
        </is>
      </c>
    </row>
    <row r="22">
      <c r="A22" s="2" t="inlineStr">
        <is>
          <t>WF-09</t>
        </is>
      </c>
      <c r="B22" s="2" t="inlineStr">
        <is>
          <t>FF</t>
        </is>
      </c>
      <c r="C22" s="2" t="inlineStr">
        <is>
          <t>uPVC win 2372x1140 - Top-hung fanlight over fixed; obscure glazed</t>
        </is>
      </c>
      <c r="D22" s="2" t="n">
        <v>1</v>
      </c>
      <c r="E22" s="2" t="n">
        <v>2.7</v>
      </c>
      <c r="F22" s="3" t="n">
        <v>641.3200000000001</v>
      </c>
      <c r="G22" s="3" t="n">
        <v>160</v>
      </c>
      <c r="H22" s="3">
        <f>F22+G22</f>
        <v/>
      </c>
      <c r="I22" s="2" t="inlineStr">
        <is>
          <t>BSW uPVC casement glazed [1.5-3] median (register) + safety-glass uplift GBP25/m2 + hardware allowances</t>
        </is>
      </c>
    </row>
    <row r="23">
      <c r="A23" s="2" t="inlineStr">
        <is>
          <t>WG-09</t>
        </is>
      </c>
      <c r="B23" s="2" t="inlineStr">
        <is>
          <t>GF</t>
        </is>
      </c>
      <c r="C23" s="2" t="inlineStr">
        <is>
          <t>uPVC win 905x1150 - Top-hung over fixed; obscure glazed</t>
        </is>
      </c>
      <c r="D23" s="2" t="n">
        <v>1</v>
      </c>
      <c r="E23" s="2" t="n">
        <v>1.04</v>
      </c>
      <c r="F23" s="3" t="n">
        <v>319.04</v>
      </c>
      <c r="G23" s="3" t="n">
        <v>160</v>
      </c>
      <c r="H23" s="3">
        <f>F23+G23</f>
        <v/>
      </c>
      <c r="I23" s="2" t="inlineStr">
        <is>
          <t>BSW uPVC casement glazed [&lt;1.5] median (register) + safety-glass uplift GBP25/m2 + hardware allowances</t>
        </is>
      </c>
    </row>
    <row r="24">
      <c r="A24" s="2" t="inlineStr">
        <is>
          <t>WG-11</t>
        </is>
      </c>
      <c r="B24" s="2" t="inlineStr">
        <is>
          <t>GF</t>
        </is>
      </c>
      <c r="C24" s="2" t="inlineStr">
        <is>
          <t>uPVC win 825x975 - Single fixed/opener; obscure glazed</t>
        </is>
      </c>
      <c r="D24" s="2" t="n">
        <v>1</v>
      </c>
      <c r="E24" s="2" t="n">
        <v>0.8</v>
      </c>
      <c r="F24" s="3" t="n">
        <v>262.48</v>
      </c>
      <c r="G24" s="3" t="n">
        <v>160</v>
      </c>
      <c r="H24" s="3">
        <f>F24+G24</f>
        <v/>
      </c>
      <c r="I24" s="2" t="inlineStr">
        <is>
          <t>BSW uPVC casement glazed [&lt;1.5] median (register) + safety-glass uplift GBP25/m2 + hardware allowances</t>
        </is>
      </c>
    </row>
    <row r="25">
      <c r="A25" s="2" t="inlineStr">
        <is>
          <t>WG-41</t>
        </is>
      </c>
      <c r="B25" s="2" t="inlineStr">
        <is>
          <t>GF</t>
        </is>
      </c>
      <c r="C25" s="2" t="inlineStr">
        <is>
          <t>uPVC win 990x1120 - Top-hung over fixed; obscure glazed</t>
        </is>
      </c>
      <c r="D25" s="2" t="n">
        <v>1</v>
      </c>
      <c r="E25" s="2" t="n">
        <v>1.11</v>
      </c>
      <c r="F25" s="3" t="n">
        <v>335.32</v>
      </c>
      <c r="G25" s="3" t="n">
        <v>160</v>
      </c>
      <c r="H25" s="3">
        <f>F25+G25</f>
        <v/>
      </c>
      <c r="I25" s="2" t="inlineStr">
        <is>
          <t>BSW uPVC casement glazed [&lt;1.5] median (register) + safety-glass uplift GBP25/m2 + hardware allowances</t>
        </is>
      </c>
    </row>
    <row r="26">
      <c r="A26" s="2" t="inlineStr">
        <is>
          <t>WG-42</t>
        </is>
      </c>
      <c r="B26" s="2" t="inlineStr">
        <is>
          <t>GF</t>
        </is>
      </c>
      <c r="C26" s="2" t="inlineStr">
        <is>
          <t>uPVC win 990x1120 - Top-hung over fixed; obscure glazed</t>
        </is>
      </c>
      <c r="D26" s="2" t="n">
        <v>1</v>
      </c>
      <c r="E26" s="2" t="n">
        <v>1.11</v>
      </c>
      <c r="F26" s="3" t="n">
        <v>335.32</v>
      </c>
      <c r="G26" s="3" t="n">
        <v>160</v>
      </c>
      <c r="H26" s="3">
        <f>F26+G26</f>
        <v/>
      </c>
      <c r="I26" s="2" t="inlineStr">
        <is>
          <t>BSW uPVC casement glazed [&lt;1.5] median (register) + safety-glass uplift GBP25/m2 + hardware allowances</t>
        </is>
      </c>
    </row>
    <row r="27">
      <c r="A27" s="2" t="inlineStr">
        <is>
          <t>WF-19</t>
        </is>
      </c>
      <c r="B27" s="2" t="inlineStr">
        <is>
          <t>FF</t>
        </is>
      </c>
      <c r="C27" s="2" t="inlineStr">
        <is>
          <t>uPVC win 990x1120 - Top-hung over fixed; obscure glazed</t>
        </is>
      </c>
      <c r="D27" s="2" t="n">
        <v>1</v>
      </c>
      <c r="E27" s="2" t="n">
        <v>1.11</v>
      </c>
      <c r="F27" s="3" t="n">
        <v>335.32</v>
      </c>
      <c r="G27" s="3" t="n">
        <v>160</v>
      </c>
      <c r="H27" s="3">
        <f>F27+G27</f>
        <v/>
      </c>
      <c r="I27" s="2" t="inlineStr">
        <is>
          <t>BSW uPVC casement glazed [&lt;1.5] median (register) + safety-glass uplift GBP25/m2 + hardware allowances</t>
        </is>
      </c>
    </row>
    <row r="28">
      <c r="A28" s="2" t="inlineStr">
        <is>
          <t>WF-20</t>
        </is>
      </c>
      <c r="B28" s="2" t="inlineStr">
        <is>
          <t>FF</t>
        </is>
      </c>
      <c r="C28" s="2" t="inlineStr">
        <is>
          <t>uPVC win 990x1120 - Top-hung over fixed; obscure glazed</t>
        </is>
      </c>
      <c r="D28" s="2" t="n">
        <v>1</v>
      </c>
      <c r="E28" s="2" t="n">
        <v>1.11</v>
      </c>
      <c r="F28" s="3" t="n">
        <v>335.32</v>
      </c>
      <c r="G28" s="3" t="n">
        <v>160</v>
      </c>
      <c r="H28" s="3">
        <f>F28+G28</f>
        <v/>
      </c>
      <c r="I28" s="2" t="inlineStr">
        <is>
          <t>BSW uPVC casement glazed [&lt;1.5] median (register) + safety-glass uplift GBP25/m2 + hardware allowances</t>
        </is>
      </c>
    </row>
    <row r="29">
      <c r="A29" s="2" t="inlineStr">
        <is>
          <t>WG-13</t>
        </is>
      </c>
      <c r="B29" s="2" t="inlineStr">
        <is>
          <t>GF</t>
        </is>
      </c>
      <c r="C29" s="2" t="inlineStr">
        <is>
          <t>uPVC win 3108x500 - High-level 5-pane strip; 2 top-hung openers</t>
        </is>
      </c>
      <c r="D29" s="2" t="n">
        <v>1</v>
      </c>
      <c r="E29" s="2" t="n">
        <v>1.55</v>
      </c>
      <c r="F29" s="3" t="n">
        <v>398.33</v>
      </c>
      <c r="G29" s="3" t="n">
        <v>160</v>
      </c>
      <c r="H29" s="3">
        <f>F29+G29</f>
        <v/>
      </c>
      <c r="I29" s="2" t="inlineStr">
        <is>
          <t>BSW uPVC casement glazed [1.5-3] median (register) + safety-glass uplift GBP25/m2 + hardware allowances</t>
        </is>
      </c>
    </row>
    <row r="30">
      <c r="A30" s="2" t="inlineStr">
        <is>
          <t>WG-14</t>
        </is>
      </c>
      <c r="B30" s="2" t="inlineStr">
        <is>
          <t>GF</t>
        </is>
      </c>
      <c r="C30" s="2" t="inlineStr">
        <is>
          <t>uPVC win 2300x1950 - 6-pane with top-hung opener; 900mm render panel below</t>
        </is>
      </c>
      <c r="D30" s="2" t="n">
        <v>1</v>
      </c>
      <c r="E30" s="2" t="n">
        <v>4.49</v>
      </c>
      <c r="F30" s="3" t="n">
        <v>913.54</v>
      </c>
      <c r="G30" s="3" t="n">
        <v>160</v>
      </c>
      <c r="H30" s="3">
        <f>F30+G30</f>
        <v/>
      </c>
      <c r="I30" s="2" t="inlineStr">
        <is>
          <t>BSW uPVC casement glazed [3-6] median (register) + safety-glass uplift GBP25/m2 + hardware allowances</t>
        </is>
      </c>
    </row>
    <row r="31">
      <c r="A31" s="2" t="inlineStr">
        <is>
          <t>WG-34</t>
        </is>
      </c>
      <c r="B31" s="2" t="inlineStr">
        <is>
          <t>GF</t>
        </is>
      </c>
      <c r="C31" s="2" t="inlineStr">
        <is>
          <t>uPVC win 2765x1460 - 2 top-hung openers + fixed; escape-capable</t>
        </is>
      </c>
      <c r="D31" s="2" t="n">
        <v>1</v>
      </c>
      <c r="E31" s="2" t="n">
        <v>4.04</v>
      </c>
      <c r="F31" s="3" t="n">
        <v>829.26</v>
      </c>
      <c r="G31" s="3" t="n">
        <v>160</v>
      </c>
      <c r="H31" s="3">
        <f>F31+G31</f>
        <v/>
      </c>
      <c r="I31" s="2" t="inlineStr">
        <is>
          <t>BSW uPVC casement glazed [3-6] median (register) + safety-glass uplift GBP25/m2 + hardware allowances</t>
        </is>
      </c>
    </row>
    <row r="32">
      <c r="A32" s="2" t="inlineStr">
        <is>
          <t>WG-35</t>
        </is>
      </c>
      <c r="B32" s="2" t="inlineStr">
        <is>
          <t>GF</t>
        </is>
      </c>
      <c r="C32" s="2" t="inlineStr">
        <is>
          <t>uPVC win 2765x1460 - 2 top-hung openers + fixed; escape-capable</t>
        </is>
      </c>
      <c r="D32" s="2" t="n">
        <v>1</v>
      </c>
      <c r="E32" s="2" t="n">
        <v>4.04</v>
      </c>
      <c r="F32" s="3" t="n">
        <v>829.26</v>
      </c>
      <c r="G32" s="3" t="n">
        <v>160</v>
      </c>
      <c r="H32" s="3">
        <f>F32+G32</f>
        <v/>
      </c>
      <c r="I32" s="2" t="inlineStr">
        <is>
          <t>BSW uPVC casement glazed [3-6] median (register) + safety-glass uplift GBP25/m2 + hardware allowances</t>
        </is>
      </c>
    </row>
    <row r="33">
      <c r="A33" s="2" t="inlineStr">
        <is>
          <t>WG-36</t>
        </is>
      </c>
      <c r="B33" s="2" t="inlineStr">
        <is>
          <t>GF</t>
        </is>
      </c>
      <c r="C33" s="2" t="inlineStr">
        <is>
          <t>uPVC win 2765x1460 - 2 top-hung openers + fixed; escape-capable</t>
        </is>
      </c>
      <c r="D33" s="2" t="n">
        <v>1</v>
      </c>
      <c r="E33" s="2" t="n">
        <v>4.04</v>
      </c>
      <c r="F33" s="3" t="n">
        <v>829.26</v>
      </c>
      <c r="G33" s="3" t="n">
        <v>160</v>
      </c>
      <c r="H33" s="3">
        <f>F33+G33</f>
        <v/>
      </c>
      <c r="I33" s="2" t="inlineStr">
        <is>
          <t>BSW uPVC casement glazed [3-6] median (register) + safety-glass uplift GBP25/m2 + hardware allowances</t>
        </is>
      </c>
    </row>
    <row r="34">
      <c r="A34" s="2" t="inlineStr">
        <is>
          <t>WG-37</t>
        </is>
      </c>
      <c r="B34" s="2" t="inlineStr">
        <is>
          <t>GF</t>
        </is>
      </c>
      <c r="C34" s="2" t="inlineStr">
        <is>
          <t>uPVC win 2765x1460 - 2 top-hung openers + fixed; escape-capable</t>
        </is>
      </c>
      <c r="D34" s="2" t="n">
        <v>1</v>
      </c>
      <c r="E34" s="2" t="n">
        <v>4.04</v>
      </c>
      <c r="F34" s="3" t="n">
        <v>829.26</v>
      </c>
      <c r="G34" s="3" t="n">
        <v>160</v>
      </c>
      <c r="H34" s="3">
        <f>F34+G34</f>
        <v/>
      </c>
      <c r="I34" s="2" t="inlineStr">
        <is>
          <t>BSW uPVC casement glazed [3-6] median (register) + safety-glass uplift GBP25/m2 + hardware allowances</t>
        </is>
      </c>
    </row>
    <row r="35">
      <c r="A35" s="2" t="inlineStr">
        <is>
          <t>WG-38</t>
        </is>
      </c>
      <c r="B35" s="2" t="inlineStr">
        <is>
          <t>GF</t>
        </is>
      </c>
      <c r="C35" s="2" t="inlineStr">
        <is>
          <t>uPVC win 2765x1460 - 2 top-hung openers + fixed; escape-capable</t>
        </is>
      </c>
      <c r="D35" s="2" t="n">
        <v>1</v>
      </c>
      <c r="E35" s="2" t="n">
        <v>4.04</v>
      </c>
      <c r="F35" s="3" t="n">
        <v>829.26</v>
      </c>
      <c r="G35" s="3" t="n">
        <v>160</v>
      </c>
      <c r="H35" s="3">
        <f>F35+G35</f>
        <v/>
      </c>
      <c r="I35" s="2" t="inlineStr">
        <is>
          <t>BSW uPVC casement glazed [3-6] median (register) + safety-glass uplift GBP25/m2 + hardware allowances</t>
        </is>
      </c>
    </row>
    <row r="36">
      <c r="A36" s="2" t="inlineStr">
        <is>
          <t>WG-39</t>
        </is>
      </c>
      <c r="B36" s="2" t="inlineStr">
        <is>
          <t>GF</t>
        </is>
      </c>
      <c r="C36" s="2" t="inlineStr">
        <is>
          <t>uPVC win 2765x1460 - 2 top-hung openers + fixed; escape-capable</t>
        </is>
      </c>
      <c r="D36" s="2" t="n">
        <v>1</v>
      </c>
      <c r="E36" s="2" t="n">
        <v>4.04</v>
      </c>
      <c r="F36" s="3" t="n">
        <v>829.26</v>
      </c>
      <c r="G36" s="3" t="n">
        <v>160</v>
      </c>
      <c r="H36" s="3">
        <f>F36+G36</f>
        <v/>
      </c>
      <c r="I36" s="2" t="inlineStr">
        <is>
          <t>BSW uPVC casement glazed [3-6] median (register) + safety-glass uplift GBP25/m2 + hardware allowances</t>
        </is>
      </c>
    </row>
    <row r="37">
      <c r="A37" s="2" t="inlineStr">
        <is>
          <t>WF-12</t>
        </is>
      </c>
      <c r="B37" s="2" t="inlineStr">
        <is>
          <t>FF</t>
        </is>
      </c>
      <c r="C37" s="2" t="inlineStr">
        <is>
          <t>uPVC win 2765x1460 - 2 top-hung openers + fixed; FIRST-FLOOR ESCAPE window - restrictor with override</t>
        </is>
      </c>
      <c r="D37" s="2" t="n">
        <v>1</v>
      </c>
      <c r="E37" s="2" t="n">
        <v>4.04</v>
      </c>
      <c r="F37" s="3" t="n">
        <v>829.26</v>
      </c>
      <c r="G37" s="3" t="n">
        <v>160</v>
      </c>
      <c r="H37" s="3">
        <f>F37+G37</f>
        <v/>
      </c>
      <c r="I37" s="2" t="inlineStr">
        <is>
          <t>BSW uPVC casement glazed [3-6] median (register) + safety-glass uplift GBP25/m2 + hardware allowances</t>
        </is>
      </c>
    </row>
    <row r="38">
      <c r="A38" s="2" t="inlineStr">
        <is>
          <t>WF-13</t>
        </is>
      </c>
      <c r="B38" s="2" t="inlineStr">
        <is>
          <t>FF</t>
        </is>
      </c>
      <c r="C38" s="2" t="inlineStr">
        <is>
          <t>uPVC win 2765x1460 - 2 top-hung openers + fixed; FIRST-FLOOR ESCAPE window - restrictor with override</t>
        </is>
      </c>
      <c r="D38" s="2" t="n">
        <v>1</v>
      </c>
      <c r="E38" s="2" t="n">
        <v>4.04</v>
      </c>
      <c r="F38" s="3" t="n">
        <v>829.26</v>
      </c>
      <c r="G38" s="3" t="n">
        <v>160</v>
      </c>
      <c r="H38" s="3">
        <f>F38+G38</f>
        <v/>
      </c>
      <c r="I38" s="2" t="inlineStr">
        <is>
          <t>BSW uPVC casement glazed [3-6] median (register) + safety-glass uplift GBP25/m2 + hardware allowances</t>
        </is>
      </c>
    </row>
    <row r="39">
      <c r="A39" s="2" t="inlineStr">
        <is>
          <t>WF-14</t>
        </is>
      </c>
      <c r="B39" s="2" t="inlineStr">
        <is>
          <t>FF</t>
        </is>
      </c>
      <c r="C39" s="2" t="inlineStr">
        <is>
          <t>uPVC win 2765x1460 - 2 top-hung openers + fixed; FIRST-FLOOR ESCAPE window - restrictor with override</t>
        </is>
      </c>
      <c r="D39" s="2" t="n">
        <v>1</v>
      </c>
      <c r="E39" s="2" t="n">
        <v>4.04</v>
      </c>
      <c r="F39" s="3" t="n">
        <v>829.26</v>
      </c>
      <c r="G39" s="3" t="n">
        <v>160</v>
      </c>
      <c r="H39" s="3">
        <f>F39+G39</f>
        <v/>
      </c>
      <c r="I39" s="2" t="inlineStr">
        <is>
          <t>BSW uPVC casement glazed [3-6] median (register) + safety-glass uplift GBP25/m2 + hardware allowances</t>
        </is>
      </c>
    </row>
    <row r="40">
      <c r="A40" s="2" t="inlineStr">
        <is>
          <t>WF-15</t>
        </is>
      </c>
      <c r="B40" s="2" t="inlineStr">
        <is>
          <t>FF</t>
        </is>
      </c>
      <c r="C40" s="2" t="inlineStr">
        <is>
          <t>uPVC win 2765x1460 - 2 top-hung openers + fixed; FIRST-FLOOR ESCAPE window - restrictor with override</t>
        </is>
      </c>
      <c r="D40" s="2" t="n">
        <v>1</v>
      </c>
      <c r="E40" s="2" t="n">
        <v>4.04</v>
      </c>
      <c r="F40" s="3" t="n">
        <v>829.26</v>
      </c>
      <c r="G40" s="3" t="n">
        <v>160</v>
      </c>
      <c r="H40" s="3">
        <f>F40+G40</f>
        <v/>
      </c>
      <c r="I40" s="2" t="inlineStr">
        <is>
          <t>BSW uPVC casement glazed [3-6] median (register) + safety-glass uplift GBP25/m2 + hardware allowances</t>
        </is>
      </c>
    </row>
    <row r="41">
      <c r="A41" s="2" t="inlineStr">
        <is>
          <t>WF-16</t>
        </is>
      </c>
      <c r="B41" s="2" t="inlineStr">
        <is>
          <t>FF</t>
        </is>
      </c>
      <c r="C41" s="2" t="inlineStr">
        <is>
          <t>uPVC win 2765x1460 - 2 top-hung openers + fixed; FIRST-FLOOR ESCAPE window - restrictor with override</t>
        </is>
      </c>
      <c r="D41" s="2" t="n">
        <v>1</v>
      </c>
      <c r="E41" s="2" t="n">
        <v>4.04</v>
      </c>
      <c r="F41" s="3" t="n">
        <v>829.26</v>
      </c>
      <c r="G41" s="3" t="n">
        <v>160</v>
      </c>
      <c r="H41" s="3">
        <f>F41+G41</f>
        <v/>
      </c>
      <c r="I41" s="2" t="inlineStr">
        <is>
          <t>BSW uPVC casement glazed [3-6] median (register) + safety-glass uplift GBP25/m2 + hardware allowances</t>
        </is>
      </c>
    </row>
    <row r="42">
      <c r="A42" s="2" t="inlineStr">
        <is>
          <t>WF-17</t>
        </is>
      </c>
      <c r="B42" s="2" t="inlineStr">
        <is>
          <t>FF</t>
        </is>
      </c>
      <c r="C42" s="2" t="inlineStr">
        <is>
          <t>uPVC win 2765x1460 - 2 top-hung openers + fixed; FIRST-FLOOR ESCAPE window - restrictor with override</t>
        </is>
      </c>
      <c r="D42" s="2" t="n">
        <v>1</v>
      </c>
      <c r="E42" s="2" t="n">
        <v>4.04</v>
      </c>
      <c r="F42" s="3" t="n">
        <v>829.26</v>
      </c>
      <c r="G42" s="3" t="n">
        <v>160</v>
      </c>
      <c r="H42" s="3">
        <f>F42+G42</f>
        <v/>
      </c>
      <c r="I42" s="2" t="inlineStr">
        <is>
          <t>BSW uPVC casement glazed [3-6] median (register) + safety-glass uplift GBP25/m2 + hardware allowances</t>
        </is>
      </c>
    </row>
    <row r="43">
      <c r="A43" s="2" t="inlineStr">
        <is>
          <t>WG-40</t>
        </is>
      </c>
      <c r="B43" s="2" t="inlineStr">
        <is>
          <t>GF</t>
        </is>
      </c>
      <c r="C43" s="2" t="inlineStr">
        <is>
          <t>uPVC win 1360x1460 - 2 top-hung openers over fixed</t>
        </is>
      </c>
      <c r="D43" s="2" t="n">
        <v>1</v>
      </c>
      <c r="E43" s="2" t="n">
        <v>1.99</v>
      </c>
      <c r="F43" s="3" t="n">
        <v>489.52</v>
      </c>
      <c r="G43" s="3" t="n">
        <v>160</v>
      </c>
      <c r="H43" s="3">
        <f>F43+G43</f>
        <v/>
      </c>
      <c r="I43" s="2" t="inlineStr">
        <is>
          <t>BSW uPVC casement glazed [1.5-3] median (register) + safety-glass uplift GBP25/m2 + hardware allowances</t>
        </is>
      </c>
    </row>
    <row r="44">
      <c r="A44" s="2" t="inlineStr">
        <is>
          <t>WF-18</t>
        </is>
      </c>
      <c r="B44" s="2" t="inlineStr">
        <is>
          <t>FF</t>
        </is>
      </c>
      <c r="C44" s="2" t="inlineStr">
        <is>
          <t>uPVC win 1360x1460 - 2 top-hung openers over fixed; escape window</t>
        </is>
      </c>
      <c r="D44" s="2" t="n">
        <v>1</v>
      </c>
      <c r="E44" s="2" t="n">
        <v>1.99</v>
      </c>
      <c r="F44" s="3" t="n">
        <v>489.52</v>
      </c>
      <c r="G44" s="3" t="n">
        <v>160</v>
      </c>
      <c r="H44" s="3">
        <f>F44+G44</f>
        <v/>
      </c>
      <c r="I44" s="2" t="inlineStr">
        <is>
          <t>BSW uPVC casement glazed [1.5-3] median (register) + safety-glass uplift GBP25/m2 + hardware allowances</t>
        </is>
      </c>
    </row>
    <row r="45">
      <c r="A45" s="2" t="inlineStr">
        <is>
          <t>WG-43</t>
        </is>
      </c>
      <c r="B45" s="2" t="inlineStr">
        <is>
          <t>GF</t>
        </is>
      </c>
      <c r="C45" s="2" t="inlineStr">
        <is>
          <t>uPVC win 1484x1460 - 2 openers over fixed</t>
        </is>
      </c>
      <c r="D45" s="2" t="n">
        <v>1</v>
      </c>
      <c r="E45" s="2" t="n">
        <v>2.17</v>
      </c>
      <c r="F45" s="3" t="n">
        <v>527.77</v>
      </c>
      <c r="G45" s="3" t="n">
        <v>160</v>
      </c>
      <c r="H45" s="3">
        <f>F45+G45</f>
        <v/>
      </c>
      <c r="I45" s="2" t="inlineStr">
        <is>
          <t>BSW uPVC casement glazed [1.5-3] median (register) + safety-glass uplift GBP25/m2 + hardware allowances</t>
        </is>
      </c>
    </row>
    <row r="46">
      <c r="A46" s="2" t="inlineStr">
        <is>
          <t>WG-45</t>
        </is>
      </c>
      <c r="B46" s="2" t="inlineStr">
        <is>
          <t>GF</t>
        </is>
      </c>
      <c r="C46" s="2" t="inlineStr">
        <is>
          <t>uPVC win 1484x1460 - 2 openers over fixed</t>
        </is>
      </c>
      <c r="D46" s="2" t="n">
        <v>1</v>
      </c>
      <c r="E46" s="2" t="n">
        <v>2.17</v>
      </c>
      <c r="F46" s="3" t="n">
        <v>527.77</v>
      </c>
      <c r="G46" s="3" t="n">
        <v>160</v>
      </c>
      <c r="H46" s="3">
        <f>F46+G46</f>
        <v/>
      </c>
      <c r="I46" s="2" t="inlineStr">
        <is>
          <t>BSW uPVC casement glazed [1.5-3] median (register) + safety-glass uplift GBP25/m2 + hardware allowances</t>
        </is>
      </c>
    </row>
    <row r="47">
      <c r="A47" s="2" t="inlineStr">
        <is>
          <t>WG-46</t>
        </is>
      </c>
      <c r="B47" s="2" t="inlineStr">
        <is>
          <t>GF</t>
        </is>
      </c>
      <c r="C47" s="2" t="inlineStr">
        <is>
          <t>uPVC win 1484x1460 - 2 openers over fixed</t>
        </is>
      </c>
      <c r="D47" s="2" t="n">
        <v>1</v>
      </c>
      <c r="E47" s="2" t="n">
        <v>2.17</v>
      </c>
      <c r="F47" s="3" t="n">
        <v>527.77</v>
      </c>
      <c r="G47" s="3" t="n">
        <v>160</v>
      </c>
      <c r="H47" s="3">
        <f>F47+G47</f>
        <v/>
      </c>
      <c r="I47" s="2" t="inlineStr">
        <is>
          <t>BSW uPVC casement glazed [1.5-3] median (register) + safety-glass uplift GBP25/m2 + hardware allowances</t>
        </is>
      </c>
    </row>
    <row r="48">
      <c r="A48" s="2" t="inlineStr">
        <is>
          <t>WG-47</t>
        </is>
      </c>
      <c r="B48" s="2" t="inlineStr">
        <is>
          <t>GF</t>
        </is>
      </c>
      <c r="C48" s="2" t="inlineStr">
        <is>
          <t>uPVC win 1484x1460 - 2 openers over fixed</t>
        </is>
      </c>
      <c r="D48" s="2" t="n">
        <v>1</v>
      </c>
      <c r="E48" s="2" t="n">
        <v>2.17</v>
      </c>
      <c r="F48" s="3" t="n">
        <v>527.77</v>
      </c>
      <c r="G48" s="3" t="n">
        <v>160</v>
      </c>
      <c r="H48" s="3">
        <f>F48+G48</f>
        <v/>
      </c>
      <c r="I48" s="2" t="inlineStr">
        <is>
          <t>BSW uPVC casement glazed [1.5-3] median (register) + safety-glass uplift GBP25/m2 + hardware allowances</t>
        </is>
      </c>
    </row>
    <row r="49">
      <c r="A49" s="2" t="inlineStr">
        <is>
          <t>WG-48</t>
        </is>
      </c>
      <c r="B49" s="2" t="inlineStr">
        <is>
          <t>GF</t>
        </is>
      </c>
      <c r="C49" s="2" t="inlineStr">
        <is>
          <t>uPVC win 1484x1460 - 2 openers over fixed</t>
        </is>
      </c>
      <c r="D49" s="2" t="n">
        <v>1</v>
      </c>
      <c r="E49" s="2" t="n">
        <v>2.17</v>
      </c>
      <c r="F49" s="3" t="n">
        <v>527.77</v>
      </c>
      <c r="G49" s="3" t="n">
        <v>160</v>
      </c>
      <c r="H49" s="3">
        <f>F49+G49</f>
        <v/>
      </c>
      <c r="I49" s="2" t="inlineStr">
        <is>
          <t>BSW uPVC casement glazed [1.5-3] median (register) + safety-glass uplift GBP25/m2 + hardware allowances</t>
        </is>
      </c>
    </row>
    <row r="50">
      <c r="A50" s="2" t="inlineStr">
        <is>
          <t>WG-49</t>
        </is>
      </c>
      <c r="B50" s="2" t="inlineStr">
        <is>
          <t>GF</t>
        </is>
      </c>
      <c r="C50" s="2" t="inlineStr">
        <is>
          <t>uPVC win 2238x1460 - Openers + fixed; 950mm cladding panel below</t>
        </is>
      </c>
      <c r="D50" s="2" t="n">
        <v>1</v>
      </c>
      <c r="E50" s="2" t="n">
        <v>3.27</v>
      </c>
      <c r="F50" s="3" t="n">
        <v>684.55</v>
      </c>
      <c r="G50" s="3" t="n">
        <v>160</v>
      </c>
      <c r="H50" s="3">
        <f>F50+G50</f>
        <v/>
      </c>
      <c r="I50" s="2" t="inlineStr">
        <is>
          <t>BSW uPVC casement glazed [3-6] median (register) + safety-glass uplift GBP25/m2 + hardware allowances</t>
        </is>
      </c>
    </row>
    <row r="51">
      <c r="A51" s="2" t="inlineStr">
        <is>
          <t>WG-50</t>
        </is>
      </c>
      <c r="B51" s="2" t="inlineStr">
        <is>
          <t>GF</t>
        </is>
      </c>
      <c r="C51" s="2" t="inlineStr">
        <is>
          <t>uPVC win 2238x1460 - Openers + fixed; 950mm cladding panel below</t>
        </is>
      </c>
      <c r="D51" s="2" t="n">
        <v>1</v>
      </c>
      <c r="E51" s="2" t="n">
        <v>3.27</v>
      </c>
      <c r="F51" s="3" t="n">
        <v>684.55</v>
      </c>
      <c r="G51" s="3" t="n">
        <v>160</v>
      </c>
      <c r="H51" s="3">
        <f>F51+G51</f>
        <v/>
      </c>
      <c r="I51" s="2" t="inlineStr">
        <is>
          <t>BSW uPVC casement glazed [3-6] median (register) + safety-glass uplift GBP25/m2 + hardware allowances</t>
        </is>
      </c>
    </row>
    <row r="52">
      <c r="A52" s="2" t="inlineStr">
        <is>
          <t>WF-21</t>
        </is>
      </c>
      <c r="B52" s="2" t="inlineStr">
        <is>
          <t>FF</t>
        </is>
      </c>
      <c r="C52" s="2" t="inlineStr">
        <is>
          <t>uPVC win 1455x1130 - Opener + fixed; escape window with restrictor override</t>
        </is>
      </c>
      <c r="D52" s="2" t="n">
        <v>1</v>
      </c>
      <c r="E52" s="2" t="n">
        <v>1.64</v>
      </c>
      <c r="F52" s="3" t="n">
        <v>417.38</v>
      </c>
      <c r="G52" s="3" t="n">
        <v>160</v>
      </c>
      <c r="H52" s="3">
        <f>F52+G52</f>
        <v/>
      </c>
      <c r="I52" s="2" t="inlineStr">
        <is>
          <t>BSW uPVC casement glazed [1.5-3] median (register) + safety-glass uplift GBP25/m2 + hardware allowances</t>
        </is>
      </c>
    </row>
    <row r="53">
      <c r="A53" s="2" t="inlineStr">
        <is>
          <t>WF-23</t>
        </is>
      </c>
      <c r="B53" s="2" t="inlineStr">
        <is>
          <t>FF</t>
        </is>
      </c>
      <c r="C53" s="2" t="inlineStr">
        <is>
          <t>uPVC win 1455x1130 - Opener + fixed; escape window with restrictor override</t>
        </is>
      </c>
      <c r="D53" s="2" t="n">
        <v>1</v>
      </c>
      <c r="E53" s="2" t="n">
        <v>1.64</v>
      </c>
      <c r="F53" s="3" t="n">
        <v>417.38</v>
      </c>
      <c r="G53" s="3" t="n">
        <v>160</v>
      </c>
      <c r="H53" s="3">
        <f>F53+G53</f>
        <v/>
      </c>
      <c r="I53" s="2" t="inlineStr">
        <is>
          <t>BSW uPVC casement glazed [1.5-3] median (register) + safety-glass uplift GBP25/m2 + hardware allowances</t>
        </is>
      </c>
    </row>
    <row r="54">
      <c r="A54" s="2" t="inlineStr">
        <is>
          <t>WF-24</t>
        </is>
      </c>
      <c r="B54" s="2" t="inlineStr">
        <is>
          <t>FF</t>
        </is>
      </c>
      <c r="C54" s="2" t="inlineStr">
        <is>
          <t>uPVC win 1455x1130 - Opener + fixed; escape window with restrictor override</t>
        </is>
      </c>
      <c r="D54" s="2" t="n">
        <v>1</v>
      </c>
      <c r="E54" s="2" t="n">
        <v>1.64</v>
      </c>
      <c r="F54" s="3" t="n">
        <v>417.38</v>
      </c>
      <c r="G54" s="3" t="n">
        <v>160</v>
      </c>
      <c r="H54" s="3">
        <f>F54+G54</f>
        <v/>
      </c>
      <c r="I54" s="2" t="inlineStr">
        <is>
          <t>BSW uPVC casement glazed [1.5-3] median (register) + safety-glass uplift GBP25/m2 + hardware allowances</t>
        </is>
      </c>
    </row>
    <row r="55">
      <c r="A55" s="2" t="inlineStr">
        <is>
          <t>WF-25</t>
        </is>
      </c>
      <c r="B55" s="2" t="inlineStr">
        <is>
          <t>FF</t>
        </is>
      </c>
      <c r="C55" s="2" t="inlineStr">
        <is>
          <t>uPVC win 1455x1130 - Opener + fixed; escape window with restrictor override</t>
        </is>
      </c>
      <c r="D55" s="2" t="n">
        <v>1</v>
      </c>
      <c r="E55" s="2" t="n">
        <v>1.64</v>
      </c>
      <c r="F55" s="3" t="n">
        <v>417.38</v>
      </c>
      <c r="G55" s="3" t="n">
        <v>160</v>
      </c>
      <c r="H55" s="3">
        <f>F55+G55</f>
        <v/>
      </c>
      <c r="I55" s="2" t="inlineStr">
        <is>
          <t>BSW uPVC casement glazed [1.5-3] median (register) + safety-glass uplift GBP25/m2 + hardware allowances</t>
        </is>
      </c>
    </row>
    <row r="56">
      <c r="A56" s="2" t="inlineStr">
        <is>
          <t>WF-26</t>
        </is>
      </c>
      <c r="B56" s="2" t="inlineStr">
        <is>
          <t>FF</t>
        </is>
      </c>
      <c r="C56" s="2" t="inlineStr">
        <is>
          <t>uPVC win 1455x1130 - Opener + fixed; escape window with restrictor override</t>
        </is>
      </c>
      <c r="D56" s="2" t="n">
        <v>1</v>
      </c>
      <c r="E56" s="2" t="n">
        <v>1.64</v>
      </c>
      <c r="F56" s="3" t="n">
        <v>417.38</v>
      </c>
      <c r="G56" s="3" t="n">
        <v>160</v>
      </c>
      <c r="H56" s="3">
        <f>F56+G56</f>
        <v/>
      </c>
      <c r="I56" s="2" t="inlineStr">
        <is>
          <t>BSW uPVC casement glazed [1.5-3] median (register) + safety-glass uplift GBP25/m2 + hardware allowances</t>
        </is>
      </c>
    </row>
    <row r="57">
      <c r="A57" s="2" t="inlineStr">
        <is>
          <t>WF-27</t>
        </is>
      </c>
      <c r="B57" s="2" t="inlineStr">
        <is>
          <t>FF</t>
        </is>
      </c>
      <c r="C57" s="2" t="inlineStr">
        <is>
          <t>uPVC win 1338x1130 - Openers over fixed; combo with door DF-02; 980mm cladding below</t>
        </is>
      </c>
      <c r="D57" s="2" t="n">
        <v>1</v>
      </c>
      <c r="E57" s="2" t="n">
        <v>1.51</v>
      </c>
      <c r="F57" s="3" t="n">
        <v>389.44</v>
      </c>
      <c r="G57" s="3" t="n">
        <v>160</v>
      </c>
      <c r="H57" s="3">
        <f>F57+G57</f>
        <v/>
      </c>
      <c r="I57" s="2" t="inlineStr">
        <is>
          <t>BSW uPVC casement glazed [1.5-3] median (register) + safety-glass uplift GBP25/m2 + hardware allowances</t>
        </is>
      </c>
    </row>
    <row r="58">
      <c r="A58" s="2" t="inlineStr">
        <is>
          <t>WF-28</t>
        </is>
      </c>
      <c r="B58" s="2" t="inlineStr">
        <is>
          <t>FF</t>
        </is>
      </c>
      <c r="C58" s="2" t="inlineStr">
        <is>
          <t>uPVC win 2238x1130 - Fixed + opener; 980mm cladding panel below</t>
        </is>
      </c>
      <c r="D58" s="2" t="n">
        <v>1</v>
      </c>
      <c r="E58" s="2" t="n">
        <v>2.53</v>
      </c>
      <c r="F58" s="3" t="n">
        <v>604.3099999999999</v>
      </c>
      <c r="G58" s="3" t="n">
        <v>160</v>
      </c>
      <c r="H58" s="3">
        <f>F58+G58</f>
        <v/>
      </c>
      <c r="I58" s="2" t="inlineStr">
        <is>
          <t>BSW uPVC casement glazed [1.5-3] median (register) + safety-glass uplift GBP25/m2 + hardware allowances</t>
        </is>
      </c>
    </row>
    <row r="59">
      <c r="A59" s="2" t="inlineStr">
        <is>
          <t>WF-22</t>
        </is>
      </c>
      <c r="B59" s="2" t="inlineStr">
        <is>
          <t>FF</t>
        </is>
      </c>
      <c r="C59" s="2" t="inlineStr">
        <is>
          <t>uPVC win 1380x1470 - In combo with DF-01 over 940mm cladding (ref also appears on a 1280x1500 elevation - RFI d</t>
        </is>
      </c>
      <c r="D59" s="2" t="n">
        <v>1</v>
      </c>
      <c r="E59" s="2" t="n">
        <v>2.03</v>
      </c>
      <c r="F59" s="3" t="n">
        <v>498.6</v>
      </c>
      <c r="G59" s="3" t="n">
        <v>160</v>
      </c>
      <c r="H59" s="3">
        <f>F59+G59</f>
        <v/>
      </c>
      <c r="I59" s="2" t="inlineStr">
        <is>
          <t>BSW uPVC casement glazed [1.5-3] median (register) + safety-glass uplift GBP25/m2 + hardware allowances</t>
        </is>
      </c>
    </row>
    <row r="60">
      <c r="A60" s="2" t="inlineStr">
        <is>
          <t>WF-22B*</t>
        </is>
      </c>
      <c r="B60" s="2" t="inlineStr">
        <is>
          <t>FF</t>
        </is>
      </c>
      <c r="C60" s="2" t="inlineStr">
        <is>
          <t>uPVC win 1280x1500 - Standalone elevation labelled WF-22 (duplicate ref - RFI; possibly WF-29)</t>
        </is>
      </c>
      <c r="D60" s="2" t="n">
        <v>1</v>
      </c>
      <c r="E60" s="2" t="n">
        <v>1.92</v>
      </c>
      <c r="F60" s="3" t="n">
        <v>475.66</v>
      </c>
      <c r="G60" s="3" t="n">
        <v>160</v>
      </c>
      <c r="H60" s="3">
        <f>F60+G60</f>
        <v/>
      </c>
      <c r="I60" s="2" t="inlineStr">
        <is>
          <t>BSW uPVC casement glazed [1.5-3] median (register) + safety-glass uplift GBP25/m2 + hardware allowances</t>
        </is>
      </c>
    </row>
    <row r="61">
      <c r="A61" s="2" t="inlineStr">
        <is>
          <t>WG-12</t>
        </is>
      </c>
      <c r="B61" s="2" t="inlineStr">
        <is>
          <t>GF</t>
        </is>
      </c>
      <c r="C61" s="2" t="inlineStr">
        <is>
          <t>uPVC win 1230x1300 - Side-by-side with door DG-05</t>
        </is>
      </c>
      <c r="D61" s="2" t="n">
        <v>1</v>
      </c>
      <c r="E61" s="2" t="n">
        <v>1.6</v>
      </c>
      <c r="F61" s="3" t="n">
        <v>407.84</v>
      </c>
      <c r="G61" s="3" t="n">
        <v>160</v>
      </c>
      <c r="H61" s="3">
        <f>F61+G61</f>
        <v/>
      </c>
      <c r="I61" s="2" t="inlineStr">
        <is>
          <t>BSW uPVC casement glazed [1.5-3] median (register) + safety-glass uplift GBP25/m2 + hardware allowances</t>
        </is>
      </c>
    </row>
    <row r="62">
      <c r="A62" s="2" t="inlineStr">
        <is>
          <t>WG-44</t>
        </is>
      </c>
      <c r="B62" s="2" t="inlineStr">
        <is>
          <t>GF</t>
        </is>
      </c>
      <c r="C62" s="2" t="inlineStr">
        <is>
          <t>uPVC win 2210x1470 - Openers + fixed over 940mm cladding; combo with DG-14</t>
        </is>
      </c>
      <c r="D62" s="2" t="n">
        <v>1</v>
      </c>
      <c r="E62" s="2" t="n">
        <v>3.25</v>
      </c>
      <c r="F62" s="3" t="n">
        <v>681.02</v>
      </c>
      <c r="G62" s="3" t="n">
        <v>160</v>
      </c>
      <c r="H62" s="3">
        <f>F62+G62</f>
        <v/>
      </c>
      <c r="I62" s="2" t="inlineStr">
        <is>
          <t>BSW uPVC casement glazed [3-6] median (register) + safety-glass uplift GBP25/m2 + hardware allowances</t>
        </is>
      </c>
    </row>
    <row r="63">
      <c r="A63" s="2" t="inlineStr">
        <is>
          <t>WG-30</t>
        </is>
      </c>
      <c r="B63" s="2" t="inlineStr">
        <is>
          <t>GF</t>
        </is>
      </c>
      <c r="C63" s="2" t="inlineStr">
        <is>
          <t xml:space="preserve">uPVC screen 4989x1660 - 4-pane screen with top-hung openers; part of 6074 run with DG-10; 670mm render below; new </t>
        </is>
      </c>
      <c r="D63" s="2" t="n">
        <v>1</v>
      </c>
      <c r="E63" s="2" t="n">
        <v>8.279999999999999</v>
      </c>
      <c r="F63" s="3" t="n">
        <v>1801.05</v>
      </c>
      <c r="G63" s="3" t="n">
        <v>400</v>
      </c>
      <c r="H63" s="3">
        <f>F63+G63</f>
        <v/>
      </c>
      <c r="I63" s="2" t="inlineStr">
        <is>
          <t>BSW uPVC casement glazed [&gt;6] median (register) + safety-glass uplift GBP25/m2 + hardware allowances</t>
        </is>
      </c>
    </row>
    <row r="64">
      <c r="A64" s="2" t="inlineStr">
        <is>
          <t>DG-05</t>
        </is>
      </c>
      <c r="B64" s="2" t="inlineStr">
        <is>
          <t>GF</t>
        </is>
      </c>
      <c r="C64" s="2" t="inlineStr">
        <is>
          <t>uPVC door 850x2200 - Single door + lower panel; beside WG-12; latch + thumb turn; maglock interface</t>
        </is>
      </c>
      <c r="D64" s="2" t="n">
        <v>1</v>
      </c>
      <c r="E64" s="2" t="n">
        <v>1.87</v>
      </c>
      <c r="F64" s="3" t="n">
        <v>664.3099999999999</v>
      </c>
      <c r="G64" s="3" t="n">
        <v>250</v>
      </c>
      <c r="H64" s="3">
        <f>F64+G64</f>
        <v/>
      </c>
      <c r="I64" s="2" t="inlineStr">
        <is>
          <t>BSW uPVC door glazed median (register) + safety-glass uplift GBP25/m2 + hardware allowances</t>
        </is>
      </c>
    </row>
    <row r="65">
      <c r="A65" s="2" t="inlineStr">
        <is>
          <t>DG-10</t>
        </is>
      </c>
      <c r="B65" s="2" t="inlineStr">
        <is>
          <t>GF</t>
        </is>
      </c>
      <c r="C65" s="2" t="inlineStr">
        <is>
          <t>uPVC door 985x2330 - Single door in WG-30 screen; latch + thumb turn; maglock interface</t>
        </is>
      </c>
      <c r="D65" s="2" t="n">
        <v>1</v>
      </c>
      <c r="E65" s="2" t="n">
        <v>2.3</v>
      </c>
      <c r="F65" s="3" t="n">
        <v>781.21</v>
      </c>
      <c r="G65" s="3" t="n">
        <v>250</v>
      </c>
      <c r="H65" s="3">
        <f>F65+G65</f>
        <v/>
      </c>
      <c r="I65" s="2" t="inlineStr">
        <is>
          <t>BSW uPVC door glazed median (register) + safety-glass uplift GBP25/m2 + hardware allowances</t>
        </is>
      </c>
    </row>
    <row r="66">
      <c r="A66" s="2" t="inlineStr">
        <is>
          <t>DG-14</t>
        </is>
      </c>
      <c r="B66" s="2" t="inlineStr">
        <is>
          <t>GF</t>
        </is>
      </c>
      <c r="C66" s="2" t="inlineStr">
        <is>
          <t>uPVC door 940x2410 - Single FIRE EXIT door + fanlight; push pad; combo with WG-44</t>
        </is>
      </c>
      <c r="D66" s="2" t="n">
        <v>1</v>
      </c>
      <c r="E66" s="2" t="n">
        <v>2.27</v>
      </c>
      <c r="F66" s="3" t="n">
        <v>773.05</v>
      </c>
      <c r="G66" s="3" t="n">
        <v>250</v>
      </c>
      <c r="H66" s="3">
        <f>F66+G66</f>
        <v/>
      </c>
      <c r="I66" s="2" t="inlineStr">
        <is>
          <t>BSW uPVC door glazed median (register) + safety-glass uplift GBP25/m2 + hardware allowances</t>
        </is>
      </c>
    </row>
    <row r="67">
      <c r="A67" s="2" t="inlineStr">
        <is>
          <t>DF-01</t>
        </is>
      </c>
      <c r="B67" s="2" t="inlineStr">
        <is>
          <t>FF</t>
        </is>
      </c>
      <c r="C67" s="2" t="inlineStr">
        <is>
          <t>uPVC door 940x2410 - Single FIRE EXIT door + fanlight; push pad; combo with WF-22</t>
        </is>
      </c>
      <c r="D67" s="2" t="n">
        <v>1</v>
      </c>
      <c r="E67" s="2" t="n">
        <v>2.27</v>
      </c>
      <c r="F67" s="3" t="n">
        <v>773.05</v>
      </c>
      <c r="G67" s="3" t="n">
        <v>250</v>
      </c>
      <c r="H67" s="3">
        <f>F67+G67</f>
        <v/>
      </c>
      <c r="I67" s="2" t="inlineStr">
        <is>
          <t>BSW uPVC door glazed median (register) + safety-glass uplift GBP25/m2 + hardware allowances</t>
        </is>
      </c>
    </row>
    <row r="68">
      <c r="A68" s="2" t="inlineStr">
        <is>
          <t>DF-02</t>
        </is>
      </c>
      <c r="B68" s="2" t="inlineStr">
        <is>
          <t>FF</t>
        </is>
      </c>
      <c r="C68" s="2" t="inlineStr">
        <is>
          <t>uPVC door 900x2330 - Single FIRE EXIT door; push pad; combo with WF-27</t>
        </is>
      </c>
      <c r="D68" s="2" t="n">
        <v>1</v>
      </c>
      <c r="E68" s="2" t="n">
        <v>2.1</v>
      </c>
      <c r="F68" s="3" t="n">
        <v>726.74</v>
      </c>
      <c r="G68" s="3" t="n">
        <v>250</v>
      </c>
      <c r="H68" s="3">
        <f>F68+G68</f>
        <v/>
      </c>
      <c r="I68" s="2" t="inlineStr">
        <is>
          <t>BSW uPVC door glazed median (register) + safety-glass uplift GBP25/m2 + hardware allowances</t>
        </is>
      </c>
    </row>
    <row r="69">
      <c r="A69" s="2" t="inlineStr">
        <is>
          <t>DG-01</t>
        </is>
      </c>
      <c r="B69" s="2" t="inlineStr">
        <is>
          <t>GF</t>
        </is>
      </c>
      <c r="C69" s="2" t="inlineStr">
        <is>
          <t>Alu door 910x2390 - Single FIRE EXIT door + fanlight; push pad + external pull handle (spec 3.13); critical-lo</t>
        </is>
      </c>
      <c r="D69" s="2" t="n">
        <v>1</v>
      </c>
      <c r="E69" s="2" t="n">
        <v>2.17</v>
      </c>
      <c r="F69" s="3" t="n">
        <v>1124.33</v>
      </c>
      <c r="G69" s="3" t="n">
        <v>250</v>
      </c>
      <c r="H69" s="3">
        <f>F69+G69</f>
        <v/>
      </c>
      <c r="I69" s="2" t="inlineStr">
        <is>
          <t>BSW alu door glazed [1.5-3] median (register) + safety-glass uplift GBP25/m2 + hardware allowances</t>
        </is>
      </c>
    </row>
    <row r="70">
      <c r="A70" s="2" t="inlineStr">
        <is>
          <t>DG-02</t>
        </is>
      </c>
      <c r="B70" s="2" t="inlineStr">
        <is>
          <t>GF</t>
        </is>
      </c>
      <c r="C70" s="2" t="inlineStr">
        <is>
          <t>Alu door 750x2000 - Single FIRE EXIT door (narrow); push pad; critical glass</t>
        </is>
      </c>
      <c r="D70" s="2" t="n">
        <v>1</v>
      </c>
      <c r="E70" s="2" t="n">
        <v>1.5</v>
      </c>
      <c r="F70" s="3" t="n">
        <v>821.99</v>
      </c>
      <c r="G70" s="3" t="n">
        <v>250</v>
      </c>
      <c r="H70" s="3">
        <f>F70+G70</f>
        <v/>
      </c>
      <c r="I70" s="2" t="inlineStr">
        <is>
          <t>BSW alu door glazed [1.5-3] median (register) + safety-glass uplift GBP25/m2 + hardware allowances</t>
        </is>
      </c>
    </row>
    <row r="71">
      <c r="A71" s="2" t="inlineStr">
        <is>
          <t>DG-09</t>
        </is>
      </c>
      <c r="B71" s="2" t="inlineStr">
        <is>
          <t>GF</t>
        </is>
      </c>
      <c r="C71" s="2" t="inlineStr">
        <is>
          <t>Alu door 2756x2330 - MAIN ENTRANCE screen: door (min 1000mm clear opening) + side glazing + 'Greenfield's' fasc</t>
        </is>
      </c>
      <c r="D71" s="2" t="n">
        <v>1</v>
      </c>
      <c r="E71" s="2" t="n">
        <v>6.42</v>
      </c>
      <c r="F71" s="3" t="n">
        <v>3039.25</v>
      </c>
      <c r="G71" s="3" t="n">
        <v>250</v>
      </c>
      <c r="H71" s="3">
        <f>F71+G71</f>
        <v/>
      </c>
      <c r="I71" s="2" t="inlineStr">
        <is>
          <t>BSW alu door glazed [&gt;6] median (register) + safety-glass uplift GBP25/m2 + hardware allowances</t>
        </is>
      </c>
    </row>
    <row r="72">
      <c r="A72" s="2" t="inlineStr">
        <is>
          <t>DG-11</t>
        </is>
      </c>
      <c r="B72" s="2" t="inlineStr">
        <is>
          <t>GF</t>
        </is>
      </c>
      <c r="C72" s="2" t="inlineStr">
        <is>
          <t>Alu door2 1746x2410 - DOUBLE FIRE EXIT door + fanlight in 4840 screen; push bars</t>
        </is>
      </c>
      <c r="D72" s="2" t="n">
        <v>1</v>
      </c>
      <c r="E72" s="2" t="n">
        <v>4.21</v>
      </c>
      <c r="F72" s="3" t="n">
        <v>2063.67</v>
      </c>
      <c r="G72" s="3" t="n">
        <v>500</v>
      </c>
      <c r="H72" s="3">
        <f>F72+G72</f>
        <v/>
      </c>
      <c r="I72" s="2" t="inlineStr">
        <is>
          <t>BSW alu door glazed [3-6] median (register) + safety-glass uplift GBP25/m2 + hardware allowances</t>
        </is>
      </c>
    </row>
    <row r="73">
      <c r="A73" s="2" t="inlineStr">
        <is>
          <t>DG-12</t>
        </is>
      </c>
      <c r="B73" s="2" t="inlineStr">
        <is>
          <t>GF</t>
        </is>
      </c>
      <c r="C73" s="2" t="inlineStr">
        <is>
          <t>Alu door2 1270x2410 - DOUBLE (narrow pair) FIRE EXIT door + fanlight; push bars</t>
        </is>
      </c>
      <c r="D73" s="2" t="n">
        <v>1</v>
      </c>
      <c r="E73" s="2" t="n">
        <v>3.06</v>
      </c>
      <c r="F73" s="3" t="n">
        <v>1562.4</v>
      </c>
      <c r="G73" s="3" t="n">
        <v>500</v>
      </c>
      <c r="H73" s="3">
        <f>F73+G73</f>
        <v/>
      </c>
      <c r="I73" s="2" t="inlineStr">
        <is>
          <t>BSW alu door glazed [3-6] median (register) + safety-glass uplift GBP25/m2 + hardware allowances</t>
        </is>
      </c>
    </row>
    <row r="74">
      <c r="A74" s="2" t="inlineStr">
        <is>
          <t>DG-03</t>
        </is>
      </c>
      <c r="B74" s="2" t="inlineStr">
        <is>
          <t>GF</t>
        </is>
      </c>
      <c r="C74" s="2" t="inlineStr">
        <is>
          <t>Alu RAL8004 door2 1637x2400 - DOUBLE plant-room door with METAL LOUVRE panels + top vents; push pad + latch handle and l</t>
        </is>
      </c>
      <c r="D74" s="2" t="n">
        <v>1</v>
      </c>
      <c r="E74" s="2" t="n">
        <v>3.93</v>
      </c>
      <c r="F74" s="3" t="n">
        <v>2513.4</v>
      </c>
      <c r="G74" s="3" t="n">
        <v>500</v>
      </c>
      <c r="H74" s="3">
        <f>F74+G74</f>
        <v/>
      </c>
      <c r="I74" s="2" t="inlineStr">
        <is>
          <t>BSW alu door glazed [3-6] median (register) +10% RAL 8004 + safety-glass uplift GBP25/m2 + hardware allowances</t>
        </is>
      </c>
    </row>
    <row r="75">
      <c r="A75" s="2" t="inlineStr">
        <is>
          <t>DG-04</t>
        </is>
      </c>
      <c r="B75" s="2" t="inlineStr">
        <is>
          <t>GF</t>
        </is>
      </c>
      <c r="C75" s="2" t="inlineStr">
        <is>
          <t>Alu RAL8004 door 825x2100 - Single FIRE EXIT door + lower panel; push pad + latch/lock; no maglock</t>
        </is>
      </c>
      <c r="D75" s="2" t="n">
        <v>1</v>
      </c>
      <c r="E75" s="2" t="n">
        <v>1.73</v>
      </c>
      <c r="F75" s="3" t="n">
        <v>1003.76</v>
      </c>
      <c r="G75" s="3" t="n">
        <v>250</v>
      </c>
      <c r="H75" s="3">
        <f>F75+G75</f>
        <v/>
      </c>
      <c r="I75" s="2" t="inlineStr">
        <is>
          <t>BSW alu door glazed [1.5-3] median (register) +10% RAL 8004 + safety-glass uplift GBP25/m2 + hardware allowances</t>
        </is>
      </c>
    </row>
    <row r="76">
      <c r="A76" s="2" t="inlineStr">
        <is>
          <t>DG-06</t>
        </is>
      </c>
      <c r="B76" s="2" t="inlineStr">
        <is>
          <t>GF</t>
        </is>
      </c>
      <c r="C76" s="2" t="inlineStr">
        <is>
          <t>Alu RAL8004 door 949x2100 - Single FIRE EXIT plant door + panel; push pad + latch/lock; no maglock</t>
        </is>
      </c>
      <c r="D76" s="2" t="n">
        <v>1</v>
      </c>
      <c r="E76" s="2" t="n">
        <v>1.99</v>
      </c>
      <c r="F76" s="3" t="n">
        <v>1132.08</v>
      </c>
      <c r="G76" s="3" t="n">
        <v>250</v>
      </c>
      <c r="H76" s="3">
        <f>F76+G76</f>
        <v/>
      </c>
      <c r="I76" s="2" t="inlineStr">
        <is>
          <t>BSW alu door glazed [1.5-3] median (register) +10% RAL 8004 + safety-glass uplift GBP25/m2 + hardware allowances</t>
        </is>
      </c>
    </row>
    <row r="77">
      <c r="A77" s="2" t="inlineStr">
        <is>
          <t>DG-07</t>
        </is>
      </c>
      <c r="B77" s="2" t="inlineStr">
        <is>
          <t>GF</t>
        </is>
      </c>
      <c r="C77" s="2" t="inlineStr">
        <is>
          <t>Alu RAL8004 door 949x2100 - Single FIRE EXIT plant door + panel; push pad + latch/lock; no maglock</t>
        </is>
      </c>
      <c r="D77" s="2" t="n">
        <v>1</v>
      </c>
      <c r="E77" s="2" t="n">
        <v>1.99</v>
      </c>
      <c r="F77" s="3" t="n">
        <v>1132.08</v>
      </c>
      <c r="G77" s="3" t="n">
        <v>250</v>
      </c>
      <c r="H77" s="3">
        <f>F77+G77</f>
        <v/>
      </c>
      <c r="I77" s="2" t="inlineStr">
        <is>
          <t>BSW alu door glazed [1.5-3] median (register) +10% RAL 8004 + safety-glass uplift GBP25/m2 + hardware allowances</t>
        </is>
      </c>
    </row>
    <row r="78">
      <c r="A78" s="2" t="inlineStr">
        <is>
          <t>DG-08</t>
        </is>
      </c>
      <c r="B78" s="2" t="inlineStr">
        <is>
          <t>GF</t>
        </is>
      </c>
      <c r="C78" s="2" t="inlineStr">
        <is>
          <t>Alu RAL8004 slidefold 2756x2680 - 3-LEAF SLIDE-FOLD door (amended P2); confirm operation/gear spec</t>
        </is>
      </c>
      <c r="D78" s="2" t="n">
        <v>1</v>
      </c>
      <c r="E78" s="2" t="n">
        <v>7.39</v>
      </c>
      <c r="F78" s="3" t="n">
        <v>4577.95</v>
      </c>
      <c r="G78" s="3" t="n">
        <v>250</v>
      </c>
      <c r="H78" s="3">
        <f>F78+G78</f>
        <v/>
      </c>
      <c r="I78" s="2" t="inlineStr">
        <is>
          <t>alu door &gt;6m2 benchmark 370.43 + slide-fold gear premium (judgement) +10% RAL 8004 + safety-glass uplift GBP25/m2 + hardware allowances</t>
        </is>
      </c>
    </row>
    <row r="79">
      <c r="A79" s="2" t="inlineStr">
        <is>
          <t>ALLOW</t>
        </is>
      </c>
      <c r="B79" s="2" t="inlineStr">
        <is>
          <t>-</t>
        </is>
      </c>
      <c r="C79" s="2" t="inlineStr">
        <is>
          <t>Perimeter sealing/pointing: 542 lm @ GBP5/lm (PU foam + sealant int/ext per spec)</t>
        </is>
      </c>
      <c r="D79" s="2" t="n">
        <v>1</v>
      </c>
      <c r="E79" s="2" t="inlineStr"/>
      <c r="F79" s="3" t="n">
        <v>2711.7</v>
      </c>
      <c r="G79" s="3" t="n">
        <v>0</v>
      </c>
      <c r="H79" s="3">
        <f>F79+G79</f>
        <v/>
      </c>
      <c r="I79" s="2" t="inlineStr">
        <is>
          <t>Allowance</t>
        </is>
      </c>
    </row>
    <row r="80">
      <c r="A80" s="2" t="inlineStr">
        <is>
          <t>ALLOW</t>
        </is>
      </c>
      <c r="B80" s="2" t="inlineStr">
        <is>
          <t>-</t>
        </is>
      </c>
      <c r="C80" s="2" t="inlineStr">
        <is>
          <t>Tower access allowance for window works (spec 3.3.6; main scaffold by others)</t>
        </is>
      </c>
      <c r="D80" s="2" t="n">
        <v>1</v>
      </c>
      <c r="E80" s="2" t="inlineStr"/>
      <c r="F80" s="3" t="n">
        <v>1500</v>
      </c>
      <c r="G80" s="3" t="n">
        <v>0</v>
      </c>
      <c r="H80" s="3">
        <f>F80+G80</f>
        <v/>
      </c>
      <c r="I80" s="2" t="inlineStr">
        <is>
          <t>Allowance</t>
        </is>
      </c>
    </row>
    <row r="81">
      <c r="A81" s="2" t="inlineStr">
        <is>
          <t>ALLOW</t>
        </is>
      </c>
      <c r="B81" s="2" t="inlineStr">
        <is>
          <t>-</t>
        </is>
      </c>
      <c r="C81" s="2" t="inlineStr">
        <is>
          <t>FENSA notification, certification, 10-year IBG registration</t>
        </is>
      </c>
      <c r="D81" s="2" t="n">
        <v>1</v>
      </c>
      <c r="E81" s="2" t="inlineStr"/>
      <c r="F81" s="3" t="n">
        <v>600</v>
      </c>
      <c r="G81" s="3" t="n">
        <v>0</v>
      </c>
      <c r="H81" s="3">
        <f>F81+G81</f>
        <v/>
      </c>
      <c r="I81" s="2" t="inlineStr">
        <is>
          <t>Allowance</t>
        </is>
      </c>
    </row>
    <row r="82">
      <c r="A82" s="2" t="inlineStr">
        <is>
          <t>ALLOW</t>
        </is>
      </c>
      <c r="B82" s="2" t="inlineStr">
        <is>
          <t>-</t>
        </is>
      </c>
      <c r="C82" s="2" t="inlineStr">
        <is>
          <t>Manifestation to glazed doors/screens (Part M/N2)</t>
        </is>
      </c>
      <c r="D82" s="2" t="n">
        <v>1</v>
      </c>
      <c r="E82" s="2" t="inlineStr"/>
      <c r="F82" s="3" t="n">
        <v>350</v>
      </c>
      <c r="G82" s="3" t="n">
        <v>0</v>
      </c>
      <c r="H82" s="3">
        <f>F82+G82</f>
        <v/>
      </c>
      <c r="I82" s="2" t="inlineStr">
        <is>
          <t>Allowance</t>
        </is>
      </c>
    </row>
    <row r="83">
      <c r="A83" s="2" t="inlineStr">
        <is>
          <t>ALLOW</t>
        </is>
      </c>
      <c r="B83" s="2" t="inlineStr">
        <is>
          <t>-</t>
        </is>
      </c>
      <c r="C83" s="2" t="inlineStr">
        <is>
          <t>Occupied-care-home sequencing, protection &amp; Schedule of Condition (5%)</t>
        </is>
      </c>
      <c r="D83" s="2" t="n">
        <v>1</v>
      </c>
      <c r="E83" s="2" t="inlineStr"/>
      <c r="F83" s="3" t="n">
        <v>4562.84</v>
      </c>
      <c r="G83" s="3" t="n">
        <v>0</v>
      </c>
      <c r="H83" s="3">
        <f>F83+G83</f>
        <v/>
      </c>
      <c r="I83" s="2" t="inlineStr">
        <is>
          <t>Allowance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4" t="inlineStr">
        <is>
          <t>Greenfields Respite Barnstaple - Commercial Pricing Summary (benchmark-based budget)</t>
        </is>
      </c>
    </row>
    <row r="2">
      <c r="A2" s="5" t="inlineStr">
        <is>
          <t>Basis</t>
        </is>
      </c>
      <c r="B2" s="6" t="inlineStr">
        <is>
          <t>No supplier quotes yet (per Adam). Every frame rate is a MEDIAN from Fenster's mined supplier-rate register (data/supplier-rates.json, 15,551 quote lines) with documented uplifts for the spec's safety glass, PAS 24 hardware and RAL 8004 items. Take-off from drawing 005 P2; 77 openings.</t>
        </is>
      </c>
    </row>
    <row r="3">
      <c r="A3" s="5" t="inlineStr">
        <is>
          <t>Supply (benchmark rates + allowances)</t>
        </is>
      </c>
      <c r="B3" s="7">
        <f>SUM('Pricing Document'!F2:F83)</f>
        <v/>
      </c>
    </row>
    <row r="4">
      <c r="A4" s="5" t="inlineStr">
        <is>
          <t>Installation labour (Fenster codes)</t>
        </is>
      </c>
      <c r="B4" s="7">
        <f>SUM('Pricing Document'!G2:G83)</f>
        <v/>
      </c>
    </row>
    <row r="5">
      <c r="A5" s="5" t="inlineStr">
        <is>
          <t>Tender sell total ex VAT</t>
        </is>
      </c>
      <c r="B5" s="7">
        <f>B3+B4</f>
        <v/>
      </c>
    </row>
    <row r="6">
      <c r="A6" s="5" t="inlineStr">
        <is>
          <t>VAT at 20% if applicable</t>
        </is>
      </c>
      <c r="B6" s="7">
        <f>ROUND(B5*0.2,2)</f>
        <v/>
      </c>
    </row>
    <row r="7">
      <c r="A7" s="5" t="inlineStr">
        <is>
          <t>Total inc VAT</t>
        </is>
      </c>
      <c r="B7" s="7">
        <f>B5+B6</f>
        <v/>
      </c>
    </row>
    <row r="8">
      <c r="A8" s="5" t="inlineStr">
        <is>
          <t>Excluded</t>
        </is>
      </c>
      <c r="B8" s="6" t="inlineStr">
        <is>
          <t>Maglock/key-card/fire-alarm connections (client provisional sums 3.22.1/3.22.2); NSHEV control wiring; scaffolding (by others - towers allowed only); asbestos; internal redecoration beyond making good; blinds/curtains (PS 3.22.4); structural/bay-post replacement beyond like-for-like (allow check on site)</t>
        </is>
      </c>
    </row>
    <row r="9">
      <c r="A9" s="5" t="inlineStr">
        <is>
          <t>Before contract</t>
        </is>
      </c>
      <c r="B9" s="6" t="inlineStr">
        <is>
          <t>Get BSW/supplier quotes against this schedule; resolve RFIs (WG-15-29/WF-10-11/DG-13 gap, WF-22 duplicate); technical survey - drawing states dimensions are guidance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2026-07-16T13:26:32Z</dcterms:created>
  <dcterms:modified xsi:type="dcterms:W3CDTF">2026-07-16T13:26:32Z</dcterms:modified>
</cp:coreProperties>
</file>