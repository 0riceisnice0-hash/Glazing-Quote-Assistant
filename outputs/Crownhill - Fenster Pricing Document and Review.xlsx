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Document" sheetId="1" state="visible" r:id="rId1"/>
    <sheet name="Pricing Review" sheetId="2" state="visible" r:id="rId2"/>
    <sheet name="Summary" sheetId="3" state="visible" r:id="rId3"/>
    <sheet name="Assumptions Exclusions RFIs" sheetId="4" state="visible" r:id="rId4"/>
    <sheet name="Sourc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52" customWidth="1" min="4" max="4"/>
    <col width="42" customWidth="1" min="5" max="5"/>
    <col width="6" customWidth="1" min="6" max="6"/>
    <col width="6" customWidth="1" min="7" max="7"/>
    <col width="30" customWidth="1" min="8" max="8"/>
    <col width="16" customWidth="1" min="9" max="9"/>
    <col width="10" customWidth="1" min="10" max="10"/>
    <col width="12" customWidth="1" min="11" max="11"/>
    <col width="12" customWidth="1" min="12" max="12"/>
    <col width="15" customWidth="1" min="13" max="13"/>
    <col width="52" customWidth="1" min="14" max="14"/>
    <col width="40" customWidth="1" min="15" max="15"/>
  </cols>
  <sheetData>
    <row r="1">
      <c r="A1" s="1" t="inlineStr">
        <is>
          <t>Section</t>
        </is>
      </c>
      <c r="B1" s="1" t="inlineStr">
        <is>
          <t>Item Ref</t>
        </is>
      </c>
      <c r="C1" s="1" t="inlineStr">
        <is>
          <t>Location/Elevation</t>
        </is>
      </c>
      <c r="D1" s="1" t="inlineStr">
        <is>
          <t>Description</t>
        </is>
      </c>
      <c r="E1" s="1" t="inlineStr">
        <is>
          <t>Material/System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Supplier Quote Reference</t>
        </is>
      </c>
      <c r="I1" s="1" t="inlineStr">
        <is>
          <t>Supplier/Fallback Cost ex VAT</t>
        </is>
      </c>
      <c r="J1" s="1" t="inlineStr">
        <is>
          <t>Code</t>
        </is>
      </c>
      <c r="K1" s="1" t="inlineStr">
        <is>
          <t>Code Markup</t>
        </is>
      </c>
      <c r="L1" s="1" t="inlineStr">
        <is>
          <t>Labour Allowance</t>
        </is>
      </c>
      <c r="M1" s="1" t="inlineStr">
        <is>
          <t>Sell Total ex VAT</t>
        </is>
      </c>
      <c r="N1" s="1" t="inlineStr">
        <is>
          <t>Notes/Clarifications</t>
        </is>
      </c>
      <c r="O1" s="1" t="inlineStr">
        <is>
          <t>Source</t>
        </is>
      </c>
    </row>
    <row r="2">
      <c r="A2" s="2" t="inlineStr">
        <is>
          <t>Aluminium tilt &amp; turn windows</t>
        </is>
      </c>
      <c r="B2" s="2" t="inlineStr">
        <is>
          <t>TYPE A</t>
        </is>
      </c>
      <c r="C2" s="2" t="inlineStr">
        <is>
          <t>Front</t>
        </is>
      </c>
      <c r="D2" s="2" t="inlineStr">
        <is>
          <t>Window 3000 x 1340 mm, three 1000 mm tilt &amp; turn sashes</t>
        </is>
      </c>
      <c r="E2" s="2" t="inlineStr">
        <is>
          <t>Aluminium tilt &amp; turn, anthracite grey, trickle vents, Eco Toughened 4/20/4 low-E argon + solar control (Coolite-type)</t>
        </is>
      </c>
      <c r="F2" s="2" t="n">
        <v>18</v>
      </c>
      <c r="G2" s="2" t="inlineStr">
        <is>
          <t>nr</t>
        </is>
      </c>
      <c r="H2" s="2" t="inlineStr">
        <is>
          <t>No supplier quote - budget fallback rate</t>
        </is>
      </c>
      <c r="I2" s="3" t="n">
        <v>52562.34</v>
      </c>
      <c r="J2" s="2" t="inlineStr">
        <is>
          <t>MAW</t>
        </is>
      </c>
      <c r="K2" s="3" t="n">
        <v>9000</v>
      </c>
      <c r="L2" s="3" t="n">
        <v>2880</v>
      </c>
      <c r="M2" s="3">
        <f>I2+K2+L2</f>
        <v/>
      </c>
      <c r="N2" s="2" t="inlineStr">
        <is>
          <t>All three sashes assumed opening tilt &amp; turn (split-pane rate); confirm sash configuration at survey.</t>
        </is>
      </c>
      <c r="O2" s="2" t="inlineStr">
        <is>
          <t>Zelltec - Crownhill Concept.pdf (Fenster design concept, 11 July 2026) + Adam's email 15/07/2026</t>
        </is>
      </c>
    </row>
    <row r="3">
      <c r="A3" s="2" t="inlineStr">
        <is>
          <t>Aluminium tilt &amp; turn windows</t>
        </is>
      </c>
      <c r="B3" s="2" t="inlineStr">
        <is>
          <t>TYPE B</t>
        </is>
      </c>
      <c r="C3" s="2" t="inlineStr">
        <is>
          <t>Front</t>
        </is>
      </c>
      <c r="D3" s="2" t="inlineStr">
        <is>
          <t>Window 1000 x 1340 mm, single tilt &amp; turn sash</t>
        </is>
      </c>
      <c r="E3" s="2" t="inlineStr">
        <is>
          <t>Aluminium tilt &amp; turn, anthracite grey, trickle vents, Eco Toughened 4/20/4 low-E argon + solar control (Coolite-type)</t>
        </is>
      </c>
      <c r="F3" s="2" t="n">
        <v>1</v>
      </c>
      <c r="G3" s="2" t="inlineStr">
        <is>
          <t>nr</t>
        </is>
      </c>
      <c r="H3" s="2" t="inlineStr">
        <is>
          <t>No supplier quote - budget fallback rate</t>
        </is>
      </c>
      <c r="I3" s="3" t="n">
        <v>973.38</v>
      </c>
      <c r="J3" s="2" t="inlineStr">
        <is>
          <t>SAW</t>
        </is>
      </c>
      <c r="K3" s="3" t="n">
        <v>400</v>
      </c>
      <c r="L3" s="3" t="n">
        <v>160</v>
      </c>
      <c r="M3" s="3">
        <f>I3+K3+L3</f>
        <v/>
      </c>
      <c r="N3" s="2" t="inlineStr">
        <is>
          <t>Quantity not printed on concept page; taken as 1 to match Adam's 24-window total.</t>
        </is>
      </c>
      <c r="O3" s="2" t="inlineStr">
        <is>
          <t>Zelltec - Crownhill Concept.pdf (Fenster design concept, 11 July 2026) + Adam's email 15/07/2026</t>
        </is>
      </c>
    </row>
    <row r="4">
      <c r="A4" s="2" t="inlineStr">
        <is>
          <t>Aluminium tilt &amp; turn windows</t>
        </is>
      </c>
      <c r="B4" s="2" t="inlineStr">
        <is>
          <t>TYPE C</t>
        </is>
      </c>
      <c r="C4" s="2" t="inlineStr">
        <is>
          <t>Rear</t>
        </is>
      </c>
      <c r="D4" s="2" t="inlineStr">
        <is>
          <t>Window 1190 x 1190 mm, single tilt &amp; turn sash</t>
        </is>
      </c>
      <c r="E4" s="2" t="inlineStr">
        <is>
          <t>Aluminium tilt &amp; turn, anthracite grey, trickle vents, Eco Toughened 4/20/4 low-E argon + solar control (Coolite-type)</t>
        </is>
      </c>
      <c r="F4" s="2" t="n">
        <v>1</v>
      </c>
      <c r="G4" s="2" t="inlineStr">
        <is>
          <t>nr</t>
        </is>
      </c>
      <c r="H4" s="2" t="inlineStr">
        <is>
          <t>No supplier quote - budget fallback rate</t>
        </is>
      </c>
      <c r="I4" s="3" t="n">
        <v>1028.66</v>
      </c>
      <c r="J4" s="2" t="inlineStr">
        <is>
          <t>SAW</t>
        </is>
      </c>
      <c r="K4" s="3" t="n">
        <v>400</v>
      </c>
      <c r="L4" s="3" t="n">
        <v>160</v>
      </c>
      <c r="M4" s="3">
        <f>I4+K4+L4</f>
        <v/>
      </c>
      <c r="N4" s="2" t="inlineStr">
        <is>
          <t>Quantity not printed on concept page; taken as 1 to match Adam's 24-window total.</t>
        </is>
      </c>
      <c r="O4" s="2" t="inlineStr">
        <is>
          <t>Zelltec - Crownhill Concept.pdf (Fenster design concept, 11 July 2026) + Adam's email 15/07/2026</t>
        </is>
      </c>
    </row>
    <row r="5">
      <c r="A5" s="2" t="inlineStr">
        <is>
          <t>Aluminium tilt &amp; turn windows</t>
        </is>
      </c>
      <c r="B5" s="2" t="inlineStr">
        <is>
          <t>TYPE D</t>
        </is>
      </c>
      <c r="C5" s="2" t="inlineStr">
        <is>
          <t>Rear</t>
        </is>
      </c>
      <c r="D5" s="2" t="inlineStr">
        <is>
          <t>Window 900 x 880 mm, single tilt &amp; turn sash</t>
        </is>
      </c>
      <c r="E5" s="2" t="inlineStr">
        <is>
          <t>Aluminium tilt &amp; turn, anthracite grey, trickle vents, Eco Toughened 4/20/4 low-E argon + solar control (Coolite-type)</t>
        </is>
      </c>
      <c r="F5" s="2" t="n">
        <v>4</v>
      </c>
      <c r="G5" s="2" t="inlineStr">
        <is>
          <t>nr</t>
        </is>
      </c>
      <c r="H5" s="2" t="inlineStr">
        <is>
          <t>No supplier quote - budget fallback rate</t>
        </is>
      </c>
      <c r="I5" s="3" t="n">
        <v>2301.24</v>
      </c>
      <c r="J5" s="2" t="inlineStr">
        <is>
          <t>SAW</t>
        </is>
      </c>
      <c r="K5" s="3" t="n">
        <v>1600</v>
      </c>
      <c r="L5" s="3" t="n">
        <v>640</v>
      </c>
      <c r="M5" s="3">
        <f>I5+K5+L5</f>
        <v/>
      </c>
      <c r="N5" s="2" t="inlineStr"/>
      <c r="O5" s="2" t="inlineStr">
        <is>
          <t>Zelltec - Crownhill Concept.pdf (Fenster design concept, 11 July 2026) + Adam's email 15/07/2026</t>
        </is>
      </c>
    </row>
    <row r="6">
      <c r="A6" s="2" t="inlineStr">
        <is>
          <t>Commercial entrance doorsets</t>
        </is>
      </c>
      <c r="B6" s="2" t="inlineStr">
        <is>
          <t>TYPE E.1</t>
        </is>
      </c>
      <c r="C6" s="2" t="inlineStr">
        <is>
          <t>Front (main entrance)</t>
        </is>
      </c>
      <c r="D6" s="2" t="inlineStr">
        <is>
          <t>Entrance doorset 2140 x 2450 mm: single door (1060) + fixed screen (1080), letterplate, pull bar handle</t>
        </is>
      </c>
      <c r="E6" s="2" t="inlineStr">
        <is>
          <t>Smart Wall commercial spec (per Adam), anthracite grey sprayed, 28mm laminated 6.4/18/4 low-E + solar control</t>
        </is>
      </c>
      <c r="F6" s="2" t="n">
        <v>1</v>
      </c>
      <c r="G6" s="2" t="inlineStr">
        <is>
          <t>nr</t>
        </is>
      </c>
      <c r="H6" s="2" t="inlineStr">
        <is>
          <t>No supplier quote - budget fallback rate</t>
        </is>
      </c>
      <c r="I6" s="3" t="n">
        <v>6448.9</v>
      </c>
      <c r="J6" s="2" t="inlineStr">
        <is>
          <t>SADMAW</t>
        </is>
      </c>
      <c r="K6" s="3" t="n">
        <v>1850</v>
      </c>
      <c r="L6" s="3" t="n">
        <v>410</v>
      </c>
      <c r="M6" s="3">
        <f>I6+K6+L6</f>
        <v/>
      </c>
      <c r="N6" s="2" t="inlineStr">
        <is>
          <t>Half of the overall TYPE E entrance; centre post retained. Fallback cost includes laminated-glass uplift from concept detail pages.</t>
        </is>
      </c>
      <c r="O6" s="2" t="inlineStr">
        <is>
          <t>Zelltec - Crownhill Concept.pdf (Fenster design concept, 11 July 2026) + Adam's email 15/07/2026</t>
        </is>
      </c>
    </row>
    <row r="7">
      <c r="A7" s="2" t="inlineStr">
        <is>
          <t>Commercial entrance doorsets</t>
        </is>
      </c>
      <c r="B7" s="2" t="inlineStr">
        <is>
          <t>TYPE E.2</t>
        </is>
      </c>
      <c r="C7" s="2" t="inlineStr">
        <is>
          <t>Front (main entrance)</t>
        </is>
      </c>
      <c r="D7" s="2" t="inlineStr">
        <is>
          <t>Entrance doorset 2140 x 2450 mm: single door (1080) + fixed screen (1060), pull bar handle, letterbox</t>
        </is>
      </c>
      <c r="E7" s="2" t="inlineStr">
        <is>
          <t>Smart Wall commercial spec (per Adam), anthracite grey sprayed, 28mm laminated 6.4/18/4 low-E + solar control</t>
        </is>
      </c>
      <c r="F7" s="2" t="n">
        <v>1</v>
      </c>
      <c r="G7" s="2" t="inlineStr">
        <is>
          <t>nr</t>
        </is>
      </c>
      <c r="H7" s="2" t="inlineStr">
        <is>
          <t>No supplier quote - budget fallback rate</t>
        </is>
      </c>
      <c r="I7" s="3" t="n">
        <v>6448.9</v>
      </c>
      <c r="J7" s="2" t="inlineStr">
        <is>
          <t>SADMAW</t>
        </is>
      </c>
      <c r="K7" s="3" t="n">
        <v>1850</v>
      </c>
      <c r="L7" s="3" t="n">
        <v>410</v>
      </c>
      <c r="M7" s="3">
        <f>I7+K7+L7</f>
        <v/>
      </c>
      <c r="N7" s="2" t="inlineStr">
        <is>
          <t>Mirror of TYPE E.1. 200mm aluminium pressing to centre post priced as separate allowance line.</t>
        </is>
      </c>
      <c r="O7" s="2" t="inlineStr">
        <is>
          <t>Zelltec - Crownhill Concept.pdf (Fenster design concept, 11 July 2026) + Adam's email 15/07/2026</t>
        </is>
      </c>
    </row>
    <row r="8">
      <c r="A8" s="2" t="inlineStr">
        <is>
          <t>Steel fire escape doors</t>
        </is>
      </c>
      <c r="B8" s="2" t="inlineStr">
        <is>
          <t>TYPE F</t>
        </is>
      </c>
      <c r="C8" s="2" t="inlineStr">
        <is>
          <t>Rear</t>
        </is>
      </c>
      <c r="D8" s="2" t="inlineStr">
        <is>
          <t>Steel doorset 905 x 2090 mm, flat panel, panic bar</t>
        </is>
      </c>
      <c r="E8" s="2" t="inlineStr">
        <is>
          <t>Steel, anthracite grey sprayed</t>
        </is>
      </c>
      <c r="F8" s="2" t="n">
        <v>2</v>
      </c>
      <c r="G8" s="2" t="inlineStr">
        <is>
          <t>nr</t>
        </is>
      </c>
      <c r="H8" s="2" t="inlineStr">
        <is>
          <t>No supplier quote - budget fallback rate</t>
        </is>
      </c>
      <c r="I8" s="3" t="n">
        <v>2269.74</v>
      </c>
      <c r="J8" s="2" t="inlineStr">
        <is>
          <t>SSD</t>
        </is>
      </c>
      <c r="K8" s="3" t="n">
        <v>2600</v>
      </c>
      <c r="L8" s="3" t="n">
        <v>500</v>
      </c>
      <c r="M8" s="3">
        <f>I8+K8+L8</f>
        <v/>
      </c>
      <c r="N8" s="2" t="inlineStr">
        <is>
          <t>Fire escape door with panic bar. Fire RATING not stated on concept - confirm if certified fire doorsets are required.</t>
        </is>
      </c>
      <c r="O8" s="2" t="inlineStr">
        <is>
          <t>Zelltec - Crownhill Concept.pdf (Fenster design concept, 11 July 2026) + Adam's email 15/07/2026</t>
        </is>
      </c>
    </row>
    <row r="9">
      <c r="A9" s="2" t="inlineStr">
        <is>
          <t>Steel fire escape doors</t>
        </is>
      </c>
      <c r="B9" s="2" t="inlineStr">
        <is>
          <t>TYPE G</t>
        </is>
      </c>
      <c r="C9" s="2" t="inlineStr">
        <is>
          <t>Rear</t>
        </is>
      </c>
      <c r="D9" s="2" t="inlineStr">
        <is>
          <t>Steel doorset 905 x 2090 mm, flat panel, panic bar, external access</t>
        </is>
      </c>
      <c r="E9" s="2" t="inlineStr">
        <is>
          <t>Steel, anthracite grey sprayed</t>
        </is>
      </c>
      <c r="F9" s="2" t="n">
        <v>1</v>
      </c>
      <c r="G9" s="2" t="inlineStr">
        <is>
          <t>nr</t>
        </is>
      </c>
      <c r="H9" s="2" t="inlineStr">
        <is>
          <t>No supplier quote - budget fallback rate</t>
        </is>
      </c>
      <c r="I9" s="3" t="n">
        <v>1134.87</v>
      </c>
      <c r="J9" s="2" t="inlineStr">
        <is>
          <t>SSD</t>
        </is>
      </c>
      <c r="K9" s="3" t="n">
        <v>1300</v>
      </c>
      <c r="L9" s="3" t="n">
        <v>250</v>
      </c>
      <c r="M9" s="3">
        <f>I9+K9+L9</f>
        <v/>
      </c>
      <c r="N9" s="2" t="inlineStr">
        <is>
          <t>External access: allow keyed external hardware; confirm cylinder/access-control requirement.</t>
        </is>
      </c>
      <c r="O9" s="2" t="inlineStr">
        <is>
          <t>Zelltec - Crownhill Concept.pdf (Fenster design concept, 11 July 2026) + Adam's email 15/07/2026</t>
        </is>
      </c>
    </row>
    <row r="10">
      <c r="A10" s="2" t="inlineStr">
        <is>
          <t>Allowances</t>
        </is>
      </c>
      <c r="B10" s="2" t="inlineStr">
        <is>
          <t>PRESSING</t>
        </is>
      </c>
      <c r="C10" s="2" t="inlineStr">
        <is>
          <t>Main entrance centre post</t>
        </is>
      </c>
      <c r="D10" s="2" t="inlineStr">
        <is>
          <t>Supply and fit 200mm aluminium pressing to retained centre post</t>
        </is>
      </c>
      <c r="E10" s="2" t="inlineStr">
        <is>
          <t>Aluminium pressing</t>
        </is>
      </c>
      <c r="F10" s="2" t="n">
        <v>1</v>
      </c>
      <c r="G10" s="2" t="inlineStr">
        <is>
          <t>item</t>
        </is>
      </c>
      <c r="H10" s="2" t="inlineStr">
        <is>
          <t>Adam's email instruction - GBP 200 allowance</t>
        </is>
      </c>
      <c r="I10" s="3" t="n">
        <v>200</v>
      </c>
      <c r="J10" s="2" t="inlineStr">
        <is>
          <t>-</t>
        </is>
      </c>
      <c r="K10" s="3" t="n">
        <v>0</v>
      </c>
      <c r="L10" s="3" t="n">
        <v>0</v>
      </c>
      <c r="M10" s="3">
        <f>I10+K10+L10</f>
        <v/>
      </c>
      <c r="N10" s="2" t="inlineStr">
        <is>
          <t>Fixed allowance per Adam's email (15/07/2026).</t>
        </is>
      </c>
      <c r="O10" s="2" t="inlineStr">
        <is>
          <t>Zelltec - Crownhill Concept.pdf (Fenster design concept, 11 July 2026) + Adam's email 15/07/2026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36" customWidth="1" min="3" max="3"/>
    <col width="10" customWidth="1" min="4" max="4"/>
    <col width="60" customWidth="1" min="5" max="5"/>
    <col width="52" customWidth="1" min="6" max="6"/>
  </cols>
  <sheetData>
    <row r="1">
      <c r="A1" s="1" t="inlineStr">
        <is>
          <t>Tender Item</t>
        </is>
      </c>
      <c r="B1" s="1" t="inlineStr">
        <is>
          <t>Supplier Quote Reference</t>
        </is>
      </c>
      <c r="C1" s="1" t="inlineStr">
        <is>
          <t>Fenster Pricing Item</t>
        </is>
      </c>
      <c r="D1" s="1" t="inlineStr">
        <is>
          <t>Covered?</t>
        </is>
      </c>
      <c r="E1" s="1" t="inlineStr">
        <is>
          <t>Risk/Query</t>
        </is>
      </c>
      <c r="F1" s="1" t="inlineStr">
        <is>
          <t>Action Required</t>
        </is>
      </c>
    </row>
    <row r="2">
      <c r="A2" s="2" t="inlineStr">
        <is>
          <t>Aluminium tilt &amp; turn windows (24 nr)</t>
        </is>
      </c>
      <c r="B2" s="2" t="inlineStr">
        <is>
          <t>None supplied</t>
        </is>
      </c>
      <c r="C2" s="2" t="inlineStr">
        <is>
          <t>Split-pane budget rates + MAW/SAW markup</t>
        </is>
      </c>
      <c r="D2" s="2" t="inlineStr">
        <is>
          <t>Partial</t>
        </is>
      </c>
      <c r="E2" s="2" t="inlineStr">
        <is>
          <t>No supplier/fabricator costs; all sashes assumed opening tilt &amp; turn. Solar control priced at GBP 35/m2 uplift.</t>
        </is>
      </c>
      <c r="F2" s="2" t="inlineStr">
        <is>
          <t>Get fabricator quote for the tilt &amp; turn schedule; confirm sash split of TYPE A and the exact Coolite spec.</t>
        </is>
      </c>
    </row>
    <row r="3">
      <c r="A3" s="2" t="inlineStr">
        <is>
          <t>Main entrance TYPE E (2 doorsets)</t>
        </is>
      </c>
      <c r="B3" s="2" t="inlineStr">
        <is>
          <t>None supplied</t>
        </is>
      </c>
      <c r="C3" s="2" t="inlineStr">
        <is>
          <t>Budget doorset rates + SADMAW markup</t>
        </is>
      </c>
      <c r="D3" s="2" t="inlineStr">
        <is>
          <t>Partial</t>
        </is>
      </c>
      <c r="E3" s="2" t="inlineStr">
        <is>
          <t>Smart Wall commercial spec per Adam; concept shows 28mm laminated + letterplate. Pull bar handles and letterbox assumed within the doorset allowance.</t>
        </is>
      </c>
      <c r="F3" s="2" t="inlineStr">
        <is>
          <t>Get Smart Systems fabricator quote; confirm pull bar model, letterplate position and threshold detail.</t>
        </is>
      </c>
    </row>
    <row r="4">
      <c r="A4" s="2" t="inlineStr">
        <is>
          <t>Centre post pressing</t>
        </is>
      </c>
      <c r="B4" s="2" t="inlineStr">
        <is>
          <t>Adam's email</t>
        </is>
      </c>
      <c r="C4" s="2" t="inlineStr">
        <is>
          <t>GBP 200 fixed allowance</t>
        </is>
      </c>
      <c r="D4" s="2" t="inlineStr">
        <is>
          <t>Yes</t>
        </is>
      </c>
      <c r="E4" s="2" t="inlineStr">
        <is>
          <t>Adam instructed GBP 200 to fit a 200mm aluminium pressing to the retained centre post.</t>
        </is>
      </c>
      <c r="F4" s="2" t="inlineStr">
        <is>
          <t>None - included.</t>
        </is>
      </c>
    </row>
    <row r="5">
      <c r="A5" s="2" t="inlineStr">
        <is>
          <t>Steel fire escape doors TYPE F/G (3 nr)</t>
        </is>
      </c>
      <c r="B5" s="2" t="inlineStr">
        <is>
          <t>None supplied</t>
        </is>
      </c>
      <c r="C5" s="2" t="inlineStr">
        <is>
          <t>Budget SSD rates</t>
        </is>
      </c>
      <c r="D5" s="2" t="inlineStr">
        <is>
          <t>Partial</t>
        </is>
      </c>
      <c r="E5" s="2" t="inlineStr">
        <is>
          <t>Fire ESCAPE doors with panic bars; concept does not state a fire RATING or certification. TYPE G needs external access hardware.</t>
        </is>
      </c>
      <c r="F5" s="2" t="inlineStr">
        <is>
          <t>Get steel door supplier quote (e.g. Strongdor); confirm whether certified fire-rated doorsets are required and the TYPE G locking arrangement.</t>
        </is>
      </c>
    </row>
    <row r="6">
      <c r="A6" s="2" t="inlineStr">
        <is>
          <t>Quantities TYPE B/C/G</t>
        </is>
      </c>
      <c r="B6" s="2" t="inlineStr">
        <is>
          <t>Concept pages</t>
        </is>
      </c>
      <c r="C6" s="2" t="inlineStr">
        <is>
          <t>Assumed 1 nr each</t>
        </is>
      </c>
      <c r="D6" s="2" t="inlineStr">
        <is>
          <t>Partial</t>
        </is>
      </c>
      <c r="E6" s="2" t="inlineStr">
        <is>
          <t>Concept pages for TYPE B, C and G print no quantity; assumed 1 each, which reconciles to Adam's totals (24 windows / 2 entrance / 3 steel).</t>
        </is>
      </c>
      <c r="F6" s="2" t="inlineStr">
        <is>
          <t>Adam to confirm the assumed quantities.</t>
        </is>
      </c>
    </row>
    <row r="7">
      <c r="A7" s="2" t="inlineStr">
        <is>
          <t>Installation/prelims/access</t>
        </is>
      </c>
      <c r="B7" s="2" t="inlineStr">
        <is>
          <t>Concept only</t>
        </is>
      </c>
      <c r="C7" s="2" t="inlineStr">
        <is>
          <t>Product-code labour allowances only</t>
        </is>
      </c>
      <c r="D7" s="2" t="inlineStr">
        <is>
          <t>Partial</t>
        </is>
      </c>
      <c r="E7" s="2" t="inlineStr">
        <is>
          <t>Only Fenster code labour included; no prelims, access equipment, surveys, EPDM/mastic or attendances.</t>
        </is>
      </c>
      <c r="F7" s="2" t="inlineStr">
        <is>
          <t>Adam to add prelims/access; technical survey required before manufacture (dimensions are concept-stage).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4" t="inlineStr">
        <is>
          <t>Crownhill Business Centre (Zelltec) - Commercial Pricing Summary</t>
        </is>
      </c>
    </row>
    <row r="2">
      <c r="A2" s="5" t="inlineStr">
        <is>
          <t>Basis</t>
        </is>
      </c>
      <c r="B2" s="6" t="inlineStr">
        <is>
          <t>Budget pricing review from the Fenster design concept (11 July 2026) and Adam's spec email. No supplier/fabricator costs - all rates are Fenster budget fallback allowances.</t>
        </is>
      </c>
    </row>
    <row r="3">
      <c r="A3" s="5" t="inlineStr">
        <is>
          <t>Fallback supplier/material allowance ex VAT</t>
        </is>
      </c>
      <c r="B3" s="7">
        <f>SUMIF('Pricing Document'!A2:A10,"&lt;&gt;Allowances",'Pricing Document'!I2:I10)</f>
        <v/>
      </c>
    </row>
    <row r="4">
      <c r="A4" s="5" t="inlineStr">
        <is>
          <t>Fenster code markup</t>
        </is>
      </c>
      <c r="B4" s="7">
        <f>SUM('Pricing Document'!K2:K10)</f>
        <v/>
      </c>
    </row>
    <row r="5">
      <c r="A5" s="5" t="inlineStr">
        <is>
          <t>Fenster labour allowance</t>
        </is>
      </c>
      <c r="B5" s="7">
        <f>SUM('Pricing Document'!L2:L10)</f>
        <v/>
      </c>
    </row>
    <row r="6">
      <c r="A6" s="5" t="inlineStr">
        <is>
          <t>Centre post pressing allowance</t>
        </is>
      </c>
      <c r="B6" s="7" t="n">
        <v>200</v>
      </c>
    </row>
    <row r="7">
      <c r="A7" s="5" t="inlineStr">
        <is>
          <t>Budget sell total ex VAT</t>
        </is>
      </c>
      <c r="B7" s="7">
        <f>B3+B4+B5+B6</f>
        <v/>
      </c>
    </row>
    <row r="8">
      <c r="A8" s="5" t="inlineStr">
        <is>
          <t>VAT at 20% if applicable</t>
        </is>
      </c>
      <c r="B8" s="7">
        <f>ROUND(B7*0.2,2)</f>
        <v/>
      </c>
    </row>
    <row r="9">
      <c r="A9" s="5" t="inlineStr">
        <is>
          <t>Budget total inc VAT</t>
        </is>
      </c>
      <c r="B9" s="7">
        <f>B7+B8</f>
        <v/>
      </c>
    </row>
    <row r="10">
      <c r="A10" s="5" t="inlineStr">
        <is>
          <t>Unit check</t>
        </is>
      </c>
      <c r="B10" s="6" t="inlineStr">
        <is>
          <t>24 aluminium tilt &amp; turn windows + 2 aluminium commercial entrance doorsets + 3 steel doorsets = 29 frames (matches Adam's email).</t>
        </is>
      </c>
    </row>
    <row r="11">
      <c r="A11" s="5" t="inlineStr">
        <is>
          <t>Estimator note</t>
        </is>
      </c>
      <c r="B11" s="6" t="inlineStr">
        <is>
          <t>Do not issue as a fixed price. Obtain fabricator/steel-door supplier quotes, confirm fire-rating and TYPE B/C/G quantities, and complete a technical survey.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Assumptions</t>
        </is>
      </c>
    </row>
    <row r="2">
      <c r="A2" s="6" t="inlineStr">
        <is>
          <t>- All 24 windows are aluminium tilt &amp; turn (per Adam), anthracite grey, trickle vents, toughened 4/20/4 low-E argon with solar control glass (Coolite-type) at a GBP 35/m2 uplift.</t>
        </is>
      </c>
    </row>
    <row r="3">
      <c r="A3" s="6" t="inlineStr">
        <is>
          <t>- TYPE A windows priced with all three sashes opening; if outer sashes are fixed the rate reduces.</t>
        </is>
      </c>
    </row>
    <row r="4">
      <c r="A4" s="6" t="inlineStr">
        <is>
          <t>- TYPE E priced as 2 separate doorsets (door + flanking screen each, code SADMAW) since the centre post is retained; 28mm laminated 6.4/18/4 glass per concept detail pages.</t>
        </is>
      </c>
    </row>
    <row r="5">
      <c r="A5" s="6" t="inlineStr">
        <is>
          <t>- Pull bar handles and chrome letterplate included within the entrance doorset allowances.</t>
        </is>
      </c>
    </row>
    <row r="6">
      <c r="A6" s="6" t="inlineStr">
        <is>
          <t>- Steel doors priced as standard steel doorsets with panic bars, no vision panels, no fire certification.</t>
        </is>
      </c>
    </row>
    <row r="7">
      <c r="A7" s="6" t="inlineStr">
        <is>
          <t>- Quantities of 1 assumed for TYPE B, TYPE C and TYPE G (not printed on concept pages).</t>
        </is>
      </c>
    </row>
    <row r="8">
      <c r="A8" s="6" t="inlineStr">
        <is>
          <t>- Concept dimensions used throughout; technical survey to confirm before manufacture.</t>
        </is>
      </c>
    </row>
    <row r="10">
      <c r="A10" s="8" t="inlineStr">
        <is>
          <t>Exclusions</t>
        </is>
      </c>
    </row>
    <row r="11">
      <c r="A11" s="6" t="inlineStr">
        <is>
          <t>- Certified fire-rated doorsets (fire escape doors priced as standard steel with panic hardware).</t>
        </is>
      </c>
    </row>
    <row r="12">
      <c r="A12" s="6" t="inlineStr">
        <is>
          <t>- Access control/electric locking to TYPE G beyond keyed external access.</t>
        </is>
      </c>
    </row>
    <row r="13">
      <c r="A13" s="6" t="inlineStr">
        <is>
          <t>- EPDM membranes, mastic pointing, preliminaries, scaffold/MEWPs, builders work, making good.</t>
        </is>
      </c>
    </row>
    <row r="14">
      <c r="A14" s="6" t="inlineStr">
        <is>
          <t>- Removal/disposal of existing frames unless confirmed.</t>
        </is>
      </c>
    </row>
    <row r="15">
      <c r="A15" s="6" t="inlineStr">
        <is>
          <t>- Automatic operation to entrance doors (not indicated).</t>
        </is>
      </c>
    </row>
    <row r="17">
      <c r="A17" s="8" t="inlineStr">
        <is>
          <t>RFIs / Actions</t>
        </is>
      </c>
    </row>
    <row r="18">
      <c r="A18" s="6" t="inlineStr">
        <is>
          <t>- RFI 1: Confirm TYPE B, TYPE C and TYPE G quantities (assumed 1 each).</t>
        </is>
      </c>
    </row>
    <row r="19">
      <c r="A19" s="6" t="inlineStr">
        <is>
          <t>- RFI 2: Confirm TYPE A sash configuration - are all three panes opening tilt &amp; turns?</t>
        </is>
      </c>
    </row>
    <row r="20">
      <c r="A20" s="6" t="inlineStr">
        <is>
          <t>- RFI 3: Confirm whether TYPE F/G must be certified fire-rated doorsets or standard steel escape doors with panic bars.</t>
        </is>
      </c>
    </row>
    <row r="21">
      <c r="A21" s="6" t="inlineStr">
        <is>
          <t>- RFI 4: Confirm TYPE G external access hardware (keyed cylinder vs access control).</t>
        </is>
      </c>
    </row>
    <row r="22">
      <c r="A22" s="6" t="inlineStr">
        <is>
          <t>- RFI 5: Confirm exact solar control glass spec (Coolite product/shade) for windows and entrance screens.</t>
        </is>
      </c>
    </row>
    <row r="23">
      <c r="A23" s="6" t="inlineStr">
        <is>
          <t>- Action: obtain fabricator quote for windows/entrance (Smart Wall) and steel door supplier quote, then re-price.</t>
        </is>
      </c>
    </row>
    <row r="24">
      <c r="A24" s="6" t="inlineStr">
        <is>
          <t>- Action: book technical survey - concept dimensions will vary slightly.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4" customWidth="1" min="1" max="1"/>
    <col width="120" customWidth="1" min="2" max="2"/>
  </cols>
  <sheetData>
    <row r="1">
      <c r="A1" s="1" t="inlineStr">
        <is>
          <t>Document</t>
        </is>
      </c>
      <c r="B1" s="1" t="inlineStr">
        <is>
          <t>Use</t>
        </is>
      </c>
    </row>
    <row r="2">
      <c r="A2" s="2" t="inlineStr">
        <is>
          <t>Zelltec - Crownhill Concept.pdf</t>
        </is>
      </c>
      <c r="B2" s="2" t="inlineStr">
        <is>
          <t>Source of truth. Fenster design concept, 8 items over 11 pages; TYPE pages extracted by Strategy C1 (Glazing Quote Assistant v2026.07.15.2). Frame detail pages used for glazing/hardware spec.</t>
        </is>
      </c>
    </row>
    <row r="3">
      <c r="A3" s="2" t="inlineStr">
        <is>
          <t>Adam's email 15/07/2026</t>
        </is>
      </c>
      <c r="B3" s="2" t="inlineStr">
        <is>
          <t>Spec instructions: aluminium tilt &amp; turns; Smart Wall commercial entrance; solar control (Coolite); TYPE E = 2 doorsets around retained centre post + GBP 200 pressing allowance + pull bars/letterbox; TYPE F (2) and TYPE G (1) steel fire escape doors, TYPE G external access; totals 24/2/3.</t>
        </is>
      </c>
    </row>
    <row r="4">
      <c r="A4" s="2" t="inlineStr">
        <is>
          <t>WhatsApp Image 2026-07-09 (2).jpeg</t>
        </is>
      </c>
      <c r="B4" s="2" t="inlineStr">
        <is>
          <t>Photo of existing entrance: two single doors around a centre post with letterboxes and pull handle - supports the 2-doorset arrangement.</t>
        </is>
      </c>
    </row>
    <row r="5">
      <c r="A5" s="2" t="inlineStr">
        <is>
          <t>Bot extraction run</t>
        </is>
      </c>
      <c r="B5" s="2" t="inlineStr">
        <is>
          <t>test-results\crownhill-run tender-pack-report JSON/CSV; 8/8 concept types extracted, unit rates hand-verified. Entrance doorset fallback adjusted +GBP 78.65/doorset for 28mm laminated glass shown on concept detail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2026-07-15T15:23:07Z</dcterms:created>
  <dcterms:modified xsi:type="dcterms:W3CDTF">2026-07-15T15:23:07Z</dcterms:modified>
</cp:coreProperties>
</file>