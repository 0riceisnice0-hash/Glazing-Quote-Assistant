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ing Document" sheetId="1" state="visible" r:id="rId1"/>
    <sheet name="Supplier Rate Register" sheetId="2" state="visible" r:id="rId2"/>
    <sheet name="Summary" sheetId="3" state="visible" r:id="rId3"/>
    <sheet name="Assumptions Exclusions RF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54" customWidth="1" min="3" max="3"/>
    <col width="6" customWidth="1" min="4" max="4"/>
    <col width="6" customWidth="1" min="5" max="5"/>
    <col width="46" customWidth="1" min="6" max="6"/>
    <col width="15" customWidth="1" min="7" max="7"/>
    <col width="10" customWidth="1" min="8" max="8"/>
    <col width="12" customWidth="1" min="9" max="9"/>
    <col width="12" customWidth="1" min="10" max="10"/>
    <col width="15" customWidth="1" min="11" max="11"/>
    <col width="60" customWidth="1" min="12" max="12"/>
  </cols>
  <sheetData>
    <row r="1">
      <c r="A1" s="1" t="inlineStr">
        <is>
          <t>Section</t>
        </is>
      </c>
      <c r="B1" s="1" t="inlineStr">
        <is>
          <t>Item Ref</t>
        </is>
      </c>
      <c r="C1" s="1" t="inlineStr">
        <is>
          <t>Description</t>
        </is>
      </c>
      <c r="D1" s="1" t="inlineStr">
        <is>
          <t>Qty</t>
        </is>
      </c>
      <c r="E1" s="1" t="inlineStr">
        <is>
          <t>Unit</t>
        </is>
      </c>
      <c r="F1" s="1" t="inlineStr">
        <is>
          <t>Supplier Quote Reference</t>
        </is>
      </c>
      <c r="G1" s="1" t="inlineStr">
        <is>
          <t>Supplier Cost ex VAT</t>
        </is>
      </c>
      <c r="H1" s="1" t="inlineStr">
        <is>
          <t>Code</t>
        </is>
      </c>
      <c r="I1" s="1" t="inlineStr">
        <is>
          <t>Code Markup</t>
        </is>
      </c>
      <c r="J1" s="1" t="inlineStr">
        <is>
          <t>Labour Allowance</t>
        </is>
      </c>
      <c r="K1" s="1" t="inlineStr">
        <is>
          <t>Sell Total ex VAT</t>
        </is>
      </c>
      <c r="L1" s="1" t="inlineStr">
        <is>
          <t>Notes/Clarifications</t>
        </is>
      </c>
    </row>
    <row r="2">
      <c r="A2" s="2" t="inlineStr">
        <is>
          <t>Aluminium tilt &amp; turn windows</t>
        </is>
      </c>
      <c r="B2" s="2" t="inlineStr">
        <is>
          <t>TYPE A</t>
        </is>
      </c>
      <c r="C2" s="2" t="inlineStr">
        <is>
          <t>Window 3000 x 1340 mm: two outer T&amp;T sashes + fixed centre, trickle vents, SKN 176 Coolite</t>
        </is>
      </c>
      <c r="D2" s="2" t="n">
        <v>18</v>
      </c>
      <c r="E2" s="2" t="inlineStr">
        <is>
          <t>nr</t>
        </is>
      </c>
      <c r="F2" s="2" t="inlineStr">
        <is>
          <t>BSW QT239743 unglazed casement rate +20% T&amp;T; Vetroseal 059396 SKN 176 Coolite tgh</t>
        </is>
      </c>
      <c r="G2" s="3" t="n">
        <v>34852.68</v>
      </c>
      <c r="H2" s="2" t="inlineStr">
        <is>
          <t>MAW</t>
        </is>
      </c>
      <c r="I2" s="3" t="n">
        <v>9000</v>
      </c>
      <c r="J2" s="3" t="n">
        <v>2880</v>
      </c>
      <c r="K2" s="3">
        <f>G2+I2+J2</f>
        <v/>
      </c>
      <c r="L2" s="2" t="inlineStr">
        <is>
          <t>Per unit: frame 4.02m2 x GBP360 = 1,447.20 + glass 4.02m2 x GBP103 = 414.06 + 3 vents GBP75 = 1,936.26. Centres fixed per Adam (handles on outer sashes).</t>
        </is>
      </c>
    </row>
    <row r="3">
      <c r="A3" s="2" t="inlineStr">
        <is>
          <t>Aluminium tilt &amp; turn windows</t>
        </is>
      </c>
      <c r="B3" s="2" t="inlineStr">
        <is>
          <t>TYPE B</t>
        </is>
      </c>
      <c r="C3" s="2" t="inlineStr">
        <is>
          <t>Window 1000 x 1340 mm, single T&amp;T sash, trickle vent, SKN 176 Coolite</t>
        </is>
      </c>
      <c r="D3" s="2" t="n">
        <v>1</v>
      </c>
      <c r="E3" s="2" t="inlineStr">
        <is>
          <t>nr</t>
        </is>
      </c>
      <c r="F3" s="2" t="inlineStr">
        <is>
          <t>BSW QT239743 unglazed casement rate +20% T&amp;T; Vetroseal 059396 SKN 176 Coolite tgh</t>
        </is>
      </c>
      <c r="G3" s="3" t="n">
        <v>645.42</v>
      </c>
      <c r="H3" s="2" t="inlineStr">
        <is>
          <t>SAW</t>
        </is>
      </c>
      <c r="I3" s="3" t="n">
        <v>400</v>
      </c>
      <c r="J3" s="3" t="n">
        <v>160</v>
      </c>
      <c r="K3" s="3">
        <f>G3+I3+J3</f>
        <v/>
      </c>
      <c r="L3" s="2" t="inlineStr">
        <is>
          <t>Frame 482.40 + glass 138.02 + vent 25. Qty 1 confirmed (WindowCAD no-quantity rule).</t>
        </is>
      </c>
    </row>
    <row r="4">
      <c r="A4" s="2" t="inlineStr">
        <is>
          <t>Aluminium tilt &amp; turn windows</t>
        </is>
      </c>
      <c r="B4" s="2" t="inlineStr">
        <is>
          <t>TYPE C</t>
        </is>
      </c>
      <c r="C4" s="2" t="inlineStr">
        <is>
          <t>Window 1190 x 1190 mm, single T&amp;T sash, trickle vent, SKN 176 Coolite</t>
        </is>
      </c>
      <c r="D4" s="2" t="n">
        <v>1</v>
      </c>
      <c r="E4" s="2" t="inlineStr">
        <is>
          <t>nr</t>
        </is>
      </c>
      <c r="F4" s="2" t="inlineStr">
        <is>
          <t>BSW QT239743 unglazed casement rate +20% T&amp;T; Vetroseal 059396 SKN 176 Coolite tgh</t>
        </is>
      </c>
      <c r="G4" s="3" t="n">
        <v>680.66</v>
      </c>
      <c r="H4" s="2" t="inlineStr">
        <is>
          <t>SAW</t>
        </is>
      </c>
      <c r="I4" s="3" t="n">
        <v>400</v>
      </c>
      <c r="J4" s="3" t="n">
        <v>160</v>
      </c>
      <c r="K4" s="3">
        <f>G4+I4+J4</f>
        <v/>
      </c>
      <c r="L4" s="2" t="inlineStr">
        <is>
          <t>Frame 509.80 + glass 145.86 + vent 25.</t>
        </is>
      </c>
    </row>
    <row r="5">
      <c r="A5" s="2" t="inlineStr">
        <is>
          <t>Aluminium tilt &amp; turn windows</t>
        </is>
      </c>
      <c r="B5" s="2" t="inlineStr">
        <is>
          <t>TYPE D</t>
        </is>
      </c>
      <c r="C5" s="2" t="inlineStr">
        <is>
          <t>Window 900 x 880 mm, single T&amp;T sash, trickle vent, SKN 176 Coolite</t>
        </is>
      </c>
      <c r="D5" s="2" t="n">
        <v>4</v>
      </c>
      <c r="E5" s="2" t="inlineStr">
        <is>
          <t>nr</t>
        </is>
      </c>
      <c r="F5" s="2" t="inlineStr">
        <is>
          <t>BSW QT239743 unglazed casement rate +20% T&amp;T; Vetroseal 059396 SKN 176 Coolite tgh</t>
        </is>
      </c>
      <c r="G5" s="3" t="n">
        <v>1566.8</v>
      </c>
      <c r="H5" s="2" t="inlineStr">
        <is>
          <t>SAW</t>
        </is>
      </c>
      <c r="I5" s="3" t="n">
        <v>1600</v>
      </c>
      <c r="J5" s="3" t="n">
        <v>640</v>
      </c>
      <c r="K5" s="3">
        <f>G5+I5+J5</f>
        <v/>
      </c>
      <c r="L5" s="2" t="inlineStr">
        <is>
          <t>Per unit: frame 285.12 + glass 81.58 + vent 25 = 391.70. Small-unit minimum charges may apply at order - check with BSW.</t>
        </is>
      </c>
    </row>
    <row r="6">
      <c r="A6" s="2" t="inlineStr">
        <is>
          <t>Commercial entrance doorsets</t>
        </is>
      </c>
      <c r="B6" s="2" t="inlineStr">
        <is>
          <t>TYPE E.1</t>
        </is>
      </c>
      <c r="C6" s="2" t="inlineStr">
        <is>
          <t>Doorset 2140 x 2450 mm: door (1060) + fixed screen (1080), letterplate, pull bar, Smart Wall spec</t>
        </is>
      </c>
      <c r="D6" s="2" t="n">
        <v>1</v>
      </c>
      <c r="E6" s="2" t="inlineStr">
        <is>
          <t>nr</t>
        </is>
      </c>
      <c r="F6" s="2" t="inlineStr">
        <is>
          <t>BSW QT239743 door rate +15% commercial; Vetroseal lami SKN allowance; furniture allowance</t>
        </is>
      </c>
      <c r="G6" s="3" t="n">
        <v>3924.97</v>
      </c>
      <c r="H6" s="2" t="inlineStr">
        <is>
          <t>SADMAW</t>
        </is>
      </c>
      <c r="I6" s="3" t="n">
        <v>1850</v>
      </c>
      <c r="J6" s="3" t="n">
        <v>410</v>
      </c>
      <c r="K6" s="3">
        <f>G6+I6+J6</f>
        <v/>
      </c>
      <c r="L6" s="2" t="inlineStr">
        <is>
          <t>Frame 5.243m2 x GBP615 = 3,224.45 + 28mm lami SKN glass 5.243m2 x GBP105 = 550.52 + pull bar/letterplate allowance 150.</t>
        </is>
      </c>
    </row>
    <row r="7">
      <c r="A7" s="2" t="inlineStr">
        <is>
          <t>Commercial entrance doorsets</t>
        </is>
      </c>
      <c r="B7" s="2" t="inlineStr">
        <is>
          <t>TYPE E.2</t>
        </is>
      </c>
      <c r="C7" s="2" t="inlineStr">
        <is>
          <t>Doorset 2140 x 2450 mm: door (1080) + fixed screen (1060), pull bar, letterbox, Smart Wall spec</t>
        </is>
      </c>
      <c r="D7" s="2" t="n">
        <v>1</v>
      </c>
      <c r="E7" s="2" t="inlineStr">
        <is>
          <t>nr</t>
        </is>
      </c>
      <c r="F7" s="2" t="inlineStr">
        <is>
          <t>BSW QT239743 door rate +15% commercial; Vetroseal lami SKN allowance; furniture allowance</t>
        </is>
      </c>
      <c r="G7" s="3" t="n">
        <v>3924.97</v>
      </c>
      <c r="H7" s="2" t="inlineStr">
        <is>
          <t>SADMAW</t>
        </is>
      </c>
      <c r="I7" s="3" t="n">
        <v>1850</v>
      </c>
      <c r="J7" s="3" t="n">
        <v>410</v>
      </c>
      <c r="K7" s="3">
        <f>G7+I7+J7</f>
        <v/>
      </c>
      <c r="L7" s="2" t="inlineStr">
        <is>
          <t>Mirror of E.1 around retained centre post.</t>
        </is>
      </c>
    </row>
    <row r="8">
      <c r="A8" s="2" t="inlineStr">
        <is>
          <t>Steel fire escape doors</t>
        </is>
      </c>
      <c r="B8" s="2" t="inlineStr">
        <is>
          <t>TYPE F</t>
        </is>
      </c>
      <c r="C8" s="2" t="inlineStr">
        <is>
          <t>Steeldor single doorset 905 x 2090 mm, RAL 7016, panic bar</t>
        </is>
      </c>
      <c r="D8" s="2" t="n">
        <v>2</v>
      </c>
      <c r="E8" s="2" t="inlineStr">
        <is>
          <t>nr</t>
        </is>
      </c>
      <c r="F8" s="2" t="inlineStr">
        <is>
          <t>Strongdor SQ216661 Rev1 (14/07/2026) - quoted for this project</t>
        </is>
      </c>
      <c r="G8" s="3" t="n">
        <v>1635.28</v>
      </c>
      <c r="H8" s="2" t="inlineStr">
        <is>
          <t>SSD</t>
        </is>
      </c>
      <c r="I8" s="3" t="n">
        <v>2600</v>
      </c>
      <c r="J8" s="3" t="n">
        <v>500</v>
      </c>
      <c r="K8" s="3">
        <f>G8+I8+J8</f>
        <v/>
      </c>
      <c r="L8" s="2" t="inlineStr">
        <is>
          <t>SUPPLIER BACKED: GBP 817.64 per doorset. No fire rating required (confirmed by Adam).</t>
        </is>
      </c>
    </row>
    <row r="9">
      <c r="A9" s="2" t="inlineStr">
        <is>
          <t>Steel fire escape doors</t>
        </is>
      </c>
      <c r="B9" s="2" t="inlineStr">
        <is>
          <t>TYPE G</t>
        </is>
      </c>
      <c r="C9" s="2" t="inlineStr">
        <is>
          <t>Steeldor single doorset 905 x 2090 mm, RAL 7016, panic bar + external access (mechanical digi-lock)</t>
        </is>
      </c>
      <c r="D9" s="2" t="n">
        <v>1</v>
      </c>
      <c r="E9" s="2" t="inlineStr">
        <is>
          <t>nr</t>
        </is>
      </c>
      <c r="F9" s="2" t="inlineStr">
        <is>
          <t>Strongdor SQ216661 Rev1 (14/07/2026) - quoted for this project</t>
        </is>
      </c>
      <c r="G9" s="3" t="n">
        <v>927.08</v>
      </c>
      <c r="H9" s="2" t="inlineStr">
        <is>
          <t>SSD</t>
        </is>
      </c>
      <c r="I9" s="3" t="n">
        <v>1300</v>
      </c>
      <c r="J9" s="3" t="n">
        <v>250</v>
      </c>
      <c r="K9" s="3">
        <f>G9+I9+J9</f>
        <v/>
      </c>
      <c r="L9" s="2" t="inlineStr">
        <is>
          <t>SUPPLIER BACKED. GBP 109.44 premium over TYPE F assumed to cover external access hardware - confirm digi-lock is in SQ216661 scope.</t>
        </is>
      </c>
    </row>
    <row r="10">
      <c r="A10" s="2" t="inlineStr">
        <is>
          <t>Allowances</t>
        </is>
      </c>
      <c r="B10" s="2" t="inlineStr">
        <is>
          <t>PRESSING</t>
        </is>
      </c>
      <c r="C10" s="2" t="inlineStr">
        <is>
          <t>Supply and fit 200mm aluminium pressing to retained centre post</t>
        </is>
      </c>
      <c r="D10" s="2" t="n">
        <v>1</v>
      </c>
      <c r="E10" s="2" t="inlineStr">
        <is>
          <t>item</t>
        </is>
      </c>
      <c r="F10" s="2" t="inlineStr">
        <is>
          <t>Adam's email instruction</t>
        </is>
      </c>
      <c r="G10" s="3" t="n">
        <v>200</v>
      </c>
      <c r="H10" s="2" t="inlineStr">
        <is>
          <t>-</t>
        </is>
      </c>
      <c r="I10" s="3" t="n">
        <v>0</v>
      </c>
      <c r="J10" s="3" t="n">
        <v>0</v>
      </c>
      <c r="K10" s="3">
        <f>G10+I10+J10</f>
        <v/>
      </c>
      <c r="L10" s="2" t="inlineStr">
        <is>
          <t>Fixed allowance per Adam.</t>
        </is>
      </c>
    </row>
    <row r="11">
      <c r="A11" s="2" t="inlineStr">
        <is>
          <t>Allowances</t>
        </is>
      </c>
      <c r="B11" s="2" t="inlineStr">
        <is>
          <t>DELIVERY-SD</t>
        </is>
      </c>
      <c r="C11" s="2" t="inlineStr">
        <is>
          <t>Strongdor delivery to MK13 9HF</t>
        </is>
      </c>
      <c r="D11" s="2" t="n">
        <v>1</v>
      </c>
      <c r="E11" s="2" t="inlineStr">
        <is>
          <t>item</t>
        </is>
      </c>
      <c r="F11" s="2" t="inlineStr">
        <is>
          <t>Strongdor SQ216661 Rev1 (14/07/2026) - quoted for this project</t>
        </is>
      </c>
      <c r="G11" s="3" t="n">
        <v>153</v>
      </c>
      <c r="H11" s="2" t="inlineStr">
        <is>
          <t>-</t>
        </is>
      </c>
      <c r="I11" s="3" t="n">
        <v>0</v>
      </c>
      <c r="J11" s="3" t="n">
        <v>0</v>
      </c>
      <c r="K11" s="3">
        <f>G11+I11+J11</f>
        <v/>
      </c>
      <c r="L11" s="2" t="inlineStr">
        <is>
          <t>From SQ216661; kerbside delivery, forklift required.</t>
        </is>
      </c>
    </row>
    <row r="12">
      <c r="A12" s="2" t="inlineStr">
        <is>
          <t>Allowances</t>
        </is>
      </c>
      <c r="B12" s="2" t="inlineStr">
        <is>
          <t>DELIVERY-MISC</t>
        </is>
      </c>
      <c r="C12" s="2" t="inlineStr">
        <is>
          <t>BSW frame delivery + Vetroseal energy surcharge allowance</t>
        </is>
      </c>
      <c r="D12" s="2" t="n">
        <v>1</v>
      </c>
      <c r="E12" s="2" t="inlineStr">
        <is>
          <t>item</t>
        </is>
      </c>
      <c r="F12" s="2" t="inlineStr">
        <is>
          <t>BSW quotes are ex-works; Vetroseal surcharge approx 6% of glass value</t>
        </is>
      </c>
      <c r="G12" s="3" t="n">
        <v>850</v>
      </c>
      <c r="H12" s="2" t="inlineStr">
        <is>
          <t>-</t>
        </is>
      </c>
      <c r="I12" s="3" t="n">
        <v>0</v>
      </c>
      <c r="J12" s="3" t="n">
        <v>0</v>
      </c>
      <c r="K12" s="3">
        <f>G12+I12+J12</f>
        <v/>
      </c>
      <c r="L12" s="2" t="inlineStr">
        <is>
          <t>GBP 300 frames delivery + GBP 550 glass energy surcharge (6% of approx GBP 9,164 glass value).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52" customWidth="1" min="3" max="3"/>
    <col width="64" customWidth="1" min="4" max="4"/>
  </cols>
  <sheetData>
    <row r="1">
      <c r="A1" s="1" t="inlineStr">
        <is>
          <t>Rate</t>
        </is>
      </c>
      <c r="B1" s="1" t="inlineStr">
        <is>
          <t>Value</t>
        </is>
      </c>
      <c r="C1" s="1" t="inlineStr">
        <is>
          <t>Source document</t>
        </is>
      </c>
      <c r="D1" s="1" t="inlineStr">
        <is>
          <t>Notes</t>
        </is>
      </c>
    </row>
    <row r="2">
      <c r="A2" s="2" t="inlineStr">
        <is>
          <t>Aluminium casement frame, unglazed, anthracite</t>
        </is>
      </c>
      <c r="B2" s="2" t="inlineStr">
        <is>
          <t>GBP 300/m2</t>
        </is>
      </c>
      <c r="C2" s="2" t="inlineStr">
        <is>
          <t>BSW QT239743 (Zelltec Unit F Acorn, 02/12/2025)</t>
        </is>
      </c>
      <c r="D2" s="2" t="inlineStr">
        <is>
          <t>5 items at 1.1-1.2m2 all priced at GBP 300/m2 (e.g. 1044x1092 = GBP 342.05).</t>
        </is>
      </c>
    </row>
    <row r="3">
      <c r="A3" s="2" t="inlineStr">
        <is>
          <t>Tilt &amp; turn uplift on casement rate</t>
        </is>
      </c>
      <c r="B3" s="2" t="inlineStr">
        <is>
          <t>+20% (= GBP 360/m2)</t>
        </is>
      </c>
      <c r="C3" s="2" t="inlineStr">
        <is>
          <t>Estimator judgement per Adam's instruction</t>
        </is>
      </c>
      <c r="D3" s="2" t="inlineStr">
        <is>
          <t>Past BSW quotes are casements; T&amp;T gearing/hardware costs more. CONFIRM with BSW.</t>
        </is>
      </c>
    </row>
    <row r="4">
      <c r="A4" s="2" t="inlineStr">
        <is>
          <t>Aluminium open-out door, unglazed</t>
        </is>
      </c>
      <c r="B4" s="2" t="inlineStr">
        <is>
          <t>GBP 534/m2</t>
        </is>
      </c>
      <c r="C4" s="2" t="inlineStr">
        <is>
          <t>BSW QT239743 item 5 (900x2100 door = GBP 1,009.49)</t>
        </is>
      </c>
      <c r="D4" s="2" t="inlineStr">
        <is>
          <t>Base for entrance doorset rate.</t>
        </is>
      </c>
    </row>
    <row r="5">
      <c r="A5" s="2" t="inlineStr">
        <is>
          <t>Smart Wall commercial doorset framing</t>
        </is>
      </c>
      <c r="B5" s="2" t="inlineStr">
        <is>
          <t>GBP 615/m2</t>
        </is>
      </c>
      <c r="C5" s="2" t="inlineStr">
        <is>
          <t>BSW door rate +15% commercial uplift (judgement)</t>
        </is>
      </c>
      <c r="D5" s="2" t="inlineStr">
        <is>
          <t>Heavier commercial sections/midrails. CONFIRM with fabricator.</t>
        </is>
      </c>
    </row>
    <row r="6">
      <c r="A6" s="2" t="inlineStr">
        <is>
          <t>Vetroseal SKN 176 Coolite, toughened 4T-20-4T argon</t>
        </is>
      </c>
      <c r="B6" s="2" t="inlineStr">
        <is>
          <t>GBP 103/m2</t>
        </is>
      </c>
      <c r="C6" s="2" t="inlineStr">
        <is>
          <t>Vetroseal 059396 (Zelltec Units 3 &amp; 5 Cumberland Avenue)</t>
        </is>
      </c>
      <c r="D6" s="2" t="inlineStr">
        <is>
          <t>Exact Coolite spec used on all previous pricing per Adam. E.g. 694x1065 (0.739m2) = GBP 76.17.</t>
        </is>
      </c>
    </row>
    <row r="7">
      <c r="A7" s="2" t="inlineStr">
        <is>
          <t>Vetroseal 28mm laminated SKN (entrance doors)</t>
        </is>
      </c>
      <c r="B7" s="2" t="inlineStr">
        <is>
          <t>GBP 105/m2</t>
        </is>
      </c>
      <c r="C7" s="2" t="inlineStr">
        <is>
          <t>Derived: lami softcoat GBP 52.50/m2 (Vetroseal 059828) + SKN uplift approx GBP 50/m2 (from tgh SKN 103 vs tgh softcoat 57.75)</t>
        </is>
      </c>
      <c r="D7" s="2" t="inlineStr">
        <is>
          <t>Budget derivation - get Vetroseal to confirm.</t>
        </is>
      </c>
    </row>
    <row r="8">
      <c r="A8" s="2" t="inlineStr">
        <is>
          <t>Steel doorset TYPE F</t>
        </is>
      </c>
      <c r="B8" s="2" t="inlineStr">
        <is>
          <t>GBP 817.64 each</t>
        </is>
      </c>
      <c r="C8" s="2" t="inlineStr">
        <is>
          <t>Strongdor SQ216661 Rev1, 14/07/2026</t>
        </is>
      </c>
      <c r="D8" s="2" t="inlineStr">
        <is>
          <t>Live quote for this project. Valid 30 days.</t>
        </is>
      </c>
    </row>
    <row r="9">
      <c r="A9" s="2" t="inlineStr">
        <is>
          <t>Steel doorset TYPE G (external access)</t>
        </is>
      </c>
      <c r="B9" s="2" t="inlineStr">
        <is>
          <t>GBP 927.08 each</t>
        </is>
      </c>
      <c r="C9" s="2" t="inlineStr">
        <is>
          <t>Strongdor SQ216661 Rev1, 14/07/2026</t>
        </is>
      </c>
      <c r="D9" s="2" t="inlineStr">
        <is>
          <t>Confirm digi-lock included in the GBP 109.44 premium.</t>
        </is>
      </c>
    </row>
    <row r="10">
      <c r="A10" s="2" t="inlineStr">
        <is>
          <t>Trickle vents</t>
        </is>
      </c>
      <c r="B10" s="2" t="inlineStr">
        <is>
          <t>GBP 25/vent</t>
        </is>
      </c>
      <c r="C10" s="2" t="inlineStr">
        <is>
          <t>Allowance (not itemised in BSW quotes)</t>
        </is>
      </c>
      <c r="D10" s="2" t="inlineStr">
        <is>
          <t>Concept shows 4000 alu window vents.</t>
        </is>
      </c>
    </row>
    <row r="11">
      <c r="A11" s="2" t="inlineStr">
        <is>
          <t>Cross-check: BSW GLAZED casement incl SKN 176 Coolite</t>
        </is>
      </c>
      <c r="B11" s="2" t="inlineStr">
        <is>
          <t>approx GBP 615-700/m2</t>
        </is>
      </c>
      <c r="C11" s="2" t="inlineStr">
        <is>
          <t>BSW QT245448 (NHSPS Heaton Road, 17/03/2026)</t>
        </is>
      </c>
      <c r="D11" s="2" t="inlineStr">
        <is>
          <t>Alternative single-source route. Vetroseal glass route below is cheaper - matches Fenster's normal buying pattern.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115" customWidth="1" min="2" max="2"/>
  </cols>
  <sheetData>
    <row r="1">
      <c r="A1" s="4" t="inlineStr">
        <is>
          <t>Crownhill Business Centre (Zelltec) - Rev 2 Supplier-Based Pricing Summary</t>
        </is>
      </c>
    </row>
    <row r="2">
      <c r="A2" s="5" t="inlineStr">
        <is>
          <t>Basis</t>
        </is>
      </c>
      <c r="B2" s="6" t="inlineStr">
        <is>
          <t>Rev 2: rates rebuilt from past supplier costings per Adam (BSW frames +T&amp;T uplift, Vetroseal SKN 176 Coolite glass, Strongdor steel doors quoted for THIS project). Replaces the Rev 1 engine-fallback budget of GBP 97,778.03 ex VAT.</t>
        </is>
      </c>
    </row>
    <row r="3">
      <c r="A3" s="5" t="inlineStr">
        <is>
          <t>Supplier cost / allowances ex VAT</t>
        </is>
      </c>
      <c r="B3" s="7">
        <f>SUM('Pricing Document'!G2:G12)</f>
        <v/>
      </c>
    </row>
    <row r="4">
      <c r="A4" s="5" t="inlineStr">
        <is>
          <t>Fenster code markup</t>
        </is>
      </c>
      <c r="B4" s="7">
        <f>SUM('Pricing Document'!I2:I12)</f>
        <v/>
      </c>
    </row>
    <row r="5">
      <c r="A5" s="5" t="inlineStr">
        <is>
          <t>Fenster labour allowance</t>
        </is>
      </c>
      <c r="B5" s="7">
        <f>SUM('Pricing Document'!J2:J12)</f>
        <v/>
      </c>
    </row>
    <row r="6">
      <c r="A6" s="5" t="inlineStr">
        <is>
          <t>Sell total ex VAT</t>
        </is>
      </c>
      <c r="B6" s="7">
        <f>B3+B4+B5</f>
        <v/>
      </c>
    </row>
    <row r="7">
      <c r="A7" s="5" t="inlineStr">
        <is>
          <t>VAT at 20% if applicable</t>
        </is>
      </c>
      <c r="B7" s="7">
        <f>ROUND(B6*0.2,2)</f>
        <v/>
      </c>
    </row>
    <row r="8">
      <c r="A8" s="5" t="inlineStr">
        <is>
          <t>Total inc VAT</t>
        </is>
      </c>
      <c r="B8" s="7">
        <f>B6+B7</f>
        <v/>
      </c>
    </row>
    <row r="9">
      <c r="A9" s="5" t="inlineStr">
        <is>
          <t>Unit check</t>
        </is>
      </c>
      <c r="B9" s="6" t="inlineStr">
        <is>
          <t>24 T&amp;T windows + 2 entrance doorsets + 3 steel doorsets = 29 frames (matches Adam's email).</t>
        </is>
      </c>
    </row>
    <row r="10">
      <c r="A10" s="5" t="inlineStr">
        <is>
          <t>Supplier-backed vs derived</t>
        </is>
      </c>
      <c r="B10" s="6" t="inlineStr">
        <is>
          <t>Steel doors: LIVE Strongdor quote SQ216661. Windows/entrance: derived from past BSW/Vetroseal rates - firm BSW T&amp;T + Vetroseal quotes still needed before contract.</t>
        </is>
      </c>
    </row>
    <row r="11">
      <c r="A11" s="5" t="inlineStr">
        <is>
          <t>Adam's confirmations applied</t>
        </is>
      </c>
      <c r="B11" s="6" t="inlineStr">
        <is>
          <t>TYPE B/C/G qty 1 (WindowCAD rule); TYPE A centres fixed/outers opening; no fire rating; TYPE G mechanical digi-lock; Coolite = SKN 176 as all previous pricing.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35" customWidth="1" min="1" max="1"/>
  </cols>
  <sheetData>
    <row r="1">
      <c r="A1" s="8" t="inlineStr">
        <is>
          <t>Assumptions</t>
        </is>
      </c>
    </row>
    <row r="2">
      <c r="A2" s="6" t="inlineStr">
        <is>
          <t>- T&amp;T frame rate is BSW casement GBP 300/m2 + 20% - BSW have not yet quoted tilt &amp; turns for this job.</t>
        </is>
      </c>
    </row>
    <row r="3">
      <c r="A3" s="6" t="inlineStr">
        <is>
          <t>- TYPE A: two outer T&amp;T sashes + fixed centre (per Adam); all windows anthracite grey with trickle vents.</t>
        </is>
      </c>
    </row>
    <row r="4">
      <c r="A4" s="6" t="inlineStr">
        <is>
          <t>- Glass: Vetroseal SKN 176 Coolite toughened argon at GBP 103/m2 (Cumberland Avenue rate); doors 28mm laminated SKN at GBP 105/m2 (derived).</t>
        </is>
      </c>
    </row>
    <row r="5">
      <c r="A5" s="6" t="inlineStr">
        <is>
          <t>- Entrance doorsets: Smart Wall commercial spec at GBP 615/m2 framing; pull bars + letterplate GBP 150/doorset allowance.</t>
        </is>
      </c>
    </row>
    <row r="6">
      <c r="A6" s="6" t="inlineStr">
        <is>
          <t>- Steel doors: Strongdor SQ216661 prices held (valid 30 days from 14/07/2026); no fire rating per Adam; TYPE G digi-lock assumed within Strongdor premium.</t>
        </is>
      </c>
    </row>
    <row r="7">
      <c r="A7" s="6" t="inlineStr">
        <is>
          <t>- Delivery: Strongdor GBP 153 (kerbside, forklift needed); BSW/Vetroseal delivery + energy surcharge allowance GBP 850.</t>
        </is>
      </c>
    </row>
    <row r="9">
      <c r="A9" s="8" t="inlineStr">
        <is>
          <t>Exclusions</t>
        </is>
      </c>
    </row>
    <row r="10">
      <c r="A10" s="6" t="inlineStr">
        <is>
          <t>- Access control (TYPE G is mechanical digi-lock only, per Adam).</t>
        </is>
      </c>
    </row>
    <row r="11">
      <c r="A11" s="6" t="inlineStr">
        <is>
          <t>- EPDMs, mastic, prelims, scaffold/MEWPs, builders work, removal/disposal of existing frames, making good.</t>
        </is>
      </c>
    </row>
    <row r="12">
      <c r="A12" s="6" t="inlineStr">
        <is>
          <t>- Automatic door operation.</t>
        </is>
      </c>
    </row>
    <row r="13">
      <c r="A13" s="6" t="inlineStr">
        <is>
          <t>- Fire-rated certification (not required per Adam).</t>
        </is>
      </c>
    </row>
    <row r="15">
      <c r="A15" s="8" t="inlineStr">
        <is>
          <t>Actions before contract</t>
        </is>
      </c>
    </row>
    <row r="16">
      <c r="A16" s="6" t="inlineStr">
        <is>
          <t>- Get firm BSW (or Aplus) quote for the 24 T&amp;T windows and the Smart Wall entrance doorsets - the +20%/+15% uplifts are estimator judgement.</t>
        </is>
      </c>
    </row>
    <row r="17">
      <c r="A17" s="6" t="inlineStr">
        <is>
          <t>- Get firm Vetroseal quote for SKN 176 Coolite toughened (windows) and 28mm laminated SKN (doors).</t>
        </is>
      </c>
    </row>
    <row r="18">
      <c r="A18" s="6" t="inlineStr">
        <is>
          <t>- Confirm with Strongdor that the TYPE G price includes the mechanical digi-lock; re-confirm before the 30-day validity lapses (13/08/2026).</t>
        </is>
      </c>
    </row>
    <row r="19">
      <c r="A19" s="6" t="inlineStr">
        <is>
          <t>- Technical survey before manufacture - concept dimensions will vary slightly.</t>
        </is>
      </c>
    </row>
    <row r="20">
      <c r="A20" s="6" t="inlineStr">
        <is>
          <t>- Check BSW small-unit minimum charges for TYPE D (900 x 880).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2026-07-15T15:50:17Z</dcterms:created>
  <dcterms:modified xsi:type="dcterms:W3CDTF">2026-07-15T15:50:17Z</dcterms:modified>
</cp:coreProperties>
</file>