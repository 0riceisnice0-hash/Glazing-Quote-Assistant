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fensterglazingcom-my.sharepoint.com/personal/info_fensterglazing_com/Documents/Desktop/Gee All Saved/"/>
    </mc:Choice>
  </mc:AlternateContent>
  <xr:revisionPtr revIDLastSave="623" documentId="114_{188D9452-00F8-4FF3-81FB-8BB9ED4D89DC}" xr6:coauthVersionLast="47" xr6:coauthVersionMax="47" xr10:uidLastSave="{95CC506A-13AC-47F2-A22A-8A3FDAB2E1CB}"/>
  <bookViews>
    <workbookView xWindow="-120" yWindow="-120" windowWidth="29040" windowHeight="15720" tabRatio="965" xr2:uid="{EAF262EC-D744-49F4-8CB7-0A23F03598E6}"/>
  </bookViews>
  <sheets>
    <sheet name="Cover Letter" sheetId="80" r:id="rId1"/>
    <sheet name="Quotation " sheetId="79" r:id="rId2"/>
    <sheet name="Drawings " sheetId="83" r:id="rId3"/>
    <sheet name="Terms &amp; Condition" sheetId="82" r:id="rId4"/>
  </sheets>
  <externalReferences>
    <externalReference r:id="rId5"/>
    <externalReference r:id="rId6"/>
  </externalReferences>
  <definedNames>
    <definedName name="Access_Control">'[1]Item Budgets'!$B$156:$B$167</definedName>
    <definedName name="Audio_Visual">'[1]Item Budgets'!$B$167:$B$178</definedName>
    <definedName name="Beam">#REF!</definedName>
    <definedName name="Beams">#REF!</definedName>
    <definedName name="BeamTon">#REF!</definedName>
    <definedName name="Channel">#REF!</definedName>
    <definedName name="Channels">#REF!</definedName>
    <definedName name="ChannelTon">#REF!</definedName>
    <definedName name="CHSs">#REF!</definedName>
    <definedName name="Column">#REF!</definedName>
    <definedName name="Columns">#REF!</definedName>
    <definedName name="ColumnTon">#REF!</definedName>
    <definedName name="CONTAINMENT">'[1]Item Budgets'!$B$95:$B$111</definedName>
    <definedName name="DISTRIBUTION">'[1]Item Budgets'!$B$123:$B$134</definedName>
    <definedName name="EMERGENCY_LIGHTING">'[1]Item Budgets'!$B$23:$B$34</definedName>
    <definedName name="Equal">#REF!</definedName>
    <definedName name="EqualTon">#REF!</definedName>
    <definedName name="FIRE_ALARM">'[1]Item Budgets'!$B$112:$B$123</definedName>
    <definedName name="Heating_Interface">'[1]Item Budgets'!$B$178:$B$189</definedName>
    <definedName name="Lighting">'[1]Item Budgets'!$B$4:$B$23</definedName>
    <definedName name="LIGHTING_CONTROL">'[1]Item Budgets'!$B$34:$B$45</definedName>
    <definedName name="LIST">[1]Containment!#REF!</definedName>
    <definedName name="List1">#REF!</definedName>
    <definedName name="List2">#REF!</definedName>
    <definedName name="List3">#REF!</definedName>
    <definedName name="Mechanical_Supplies">'[1]Item Budgets'!$B$134:$B$145</definedName>
    <definedName name="MISCELLANEOUS">'[1]Item Budgets'!$B$189:$B$207</definedName>
    <definedName name="PCFTon">#REF!</definedName>
    <definedName name="PFC">#REF!</definedName>
    <definedName name="PFCs">#REF!</definedName>
    <definedName name="PFCTon">#REF!</definedName>
    <definedName name="PRELIMS">'[1]Item Budgets'!$B$207:$B$216</definedName>
    <definedName name="_xlnm.Print_Area" localSheetId="0">'Cover Letter'!$A$1:$D$245</definedName>
    <definedName name="_xlnm.Print_Area" localSheetId="1">'Quotation '!$B$1:$H$35</definedName>
    <definedName name="_xlnm.Print_Area" localSheetId="3">'Terms &amp; Condition'!$A$1:$E$39</definedName>
    <definedName name="_xlnm.Print_Titles" localSheetId="1">'Quotation '!$2:$8</definedName>
    <definedName name="RHS">#REF!</definedName>
    <definedName name="RHSs">#REF!</definedName>
    <definedName name="RHSTon">#REF!</definedName>
    <definedName name="RSJ">#REF!</definedName>
    <definedName name="RSJs">#REF!</definedName>
    <definedName name="RSJTon">#REF!</definedName>
    <definedName name="SHS">#REF!</definedName>
    <definedName name="SHSs">#REF!</definedName>
    <definedName name="SHSsTon">#REF!</definedName>
    <definedName name="SHSTon">#REF!</definedName>
    <definedName name="Site_Temporaries">'[1]Item Budgets'!$B$217:$B$228</definedName>
    <definedName name="SMALL_POWER">'[1]Item Budgets'!$B$45:$B$95</definedName>
    <definedName name="Steels">#REF!</definedName>
    <definedName name="Type">#REF!,#REF!,#REF!,#REF!,#REF!,#REF!,#REF!,#REF!,#REF!</definedName>
    <definedName name="Types">'[2]Type List'!$A$2:$A$8</definedName>
    <definedName name="Unequal">#REF!</definedName>
    <definedName name="UnequalTon">#REF!</definedName>
    <definedName name="Ventilation">'[1]Item Budgets'!$B$145:$B$156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31" i="79" l="1" a="1"/>
  <c r="H31" i="79" s="1"/>
  <c r="H30" i="79" a="1"/>
  <c r="H30" i="79" s="1"/>
  <c r="B14" i="80"/>
  <c r="B15" i="80"/>
  <c r="B13" i="80"/>
  <c r="B12" i="80"/>
  <c r="O10" i="79" a="1"/>
  <c r="O10" i="79" s="1"/>
  <c r="G10" i="79"/>
  <c r="G11" i="79"/>
  <c r="H11" i="79" s="1"/>
  <c r="G12" i="79"/>
  <c r="H12" i="79" s="1"/>
  <c r="G13" i="79"/>
  <c r="H13" i="79" s="1"/>
  <c r="G14" i="79"/>
  <c r="H14" i="79" s="1"/>
  <c r="G15" i="79"/>
  <c r="H15" i="79" s="1"/>
  <c r="N12" i="79"/>
  <c r="L12" i="79" s="1"/>
  <c r="N13" i="79"/>
  <c r="M13" i="79" s="1"/>
  <c r="N14" i="79"/>
  <c r="L14" i="79" s="1"/>
  <c r="N11" i="79"/>
  <c r="M11" i="79" s="1"/>
  <c r="N10" i="79"/>
  <c r="L10" i="79" s="1"/>
  <c r="H25" i="79" a="1"/>
  <c r="H25" i="79" s="1"/>
  <c r="H24" i="79" a="1"/>
  <c r="H24" i="79" s="1"/>
  <c r="M10" i="79" l="1"/>
  <c r="L13" i="79"/>
  <c r="M14" i="79"/>
  <c r="M12" i="79"/>
  <c r="L11" i="79"/>
  <c r="H10" i="79"/>
  <c r="H17" i="79" l="1" a="1"/>
  <c r="H17" i="79" s="1"/>
  <c r="H19" i="79" s="1"/>
  <c r="C21" i="80" s="1"/>
  <c r="C23" i="80" l="1"/>
  <c r="C24" i="8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<sst xmlns="http://schemas.openxmlformats.org/spreadsheetml/2006/main" count="92" uniqueCount="83">
  <si>
    <t>Unit</t>
  </si>
  <si>
    <t>Qty</t>
  </si>
  <si>
    <t>Description</t>
  </si>
  <si>
    <t>nr</t>
  </si>
  <si>
    <t>Total</t>
  </si>
  <si>
    <r>
      <t>Fenster Glazing</t>
    </r>
    <r>
      <rPr>
        <b/>
        <sz val="16"/>
        <color theme="1"/>
        <rFont val="Calibri"/>
        <family val="2"/>
        <scheme val="minor"/>
      </rPr>
      <t xml:space="preserve">
</t>
    </r>
    <r>
      <rPr>
        <sz val="16"/>
        <color theme="1"/>
        <rFont val="Calibri"/>
        <family val="2"/>
        <scheme val="minor"/>
      </rPr>
      <t>98 Alston Drive</t>
    </r>
    <r>
      <rPr>
        <sz val="14"/>
        <color theme="1"/>
        <rFont val="Calibri"/>
        <family val="2"/>
        <scheme val="minor"/>
      </rPr>
      <t xml:space="preserve">
Milton Keynes, Bucks MK12 9HF  
01908 429 200 - www.fensterglazing.com</t>
    </r>
  </si>
  <si>
    <t>Frames</t>
  </si>
  <si>
    <t xml:space="preserve">Glass </t>
  </si>
  <si>
    <t xml:space="preserve">Additional </t>
  </si>
  <si>
    <t>EPDM</t>
  </si>
  <si>
    <t>MASTIC</t>
  </si>
  <si>
    <t>CW</t>
  </si>
  <si>
    <t>Aluminium Units</t>
  </si>
  <si>
    <t>W1</t>
  </si>
  <si>
    <t>W2</t>
  </si>
  <si>
    <t>E2</t>
  </si>
  <si>
    <t>E4</t>
  </si>
  <si>
    <t>DAD</t>
  </si>
  <si>
    <t>Site Address: Library and Brandon youth centre, 19 Maddock Way Cooks Road, SE17 3NH</t>
  </si>
  <si>
    <t>2000 x 2000</t>
  </si>
  <si>
    <t>3000 x 3000</t>
  </si>
  <si>
    <t>4000 x 4000</t>
  </si>
  <si>
    <t>4000 x 4500</t>
  </si>
  <si>
    <t>SAW</t>
  </si>
  <si>
    <t>MAW</t>
  </si>
  <si>
    <t>INSTALLATION</t>
  </si>
  <si>
    <t xml:space="preserve">Size </t>
  </si>
  <si>
    <t>OPTIONAL</t>
  </si>
  <si>
    <t>Unit Rate</t>
  </si>
  <si>
    <t>CW LABOUR</t>
  </si>
  <si>
    <t>10000 x 10000</t>
  </si>
  <si>
    <t>CW SQM</t>
  </si>
  <si>
    <t>Supplier used:</t>
  </si>
  <si>
    <t>BDC</t>
  </si>
  <si>
    <t xml:space="preserve">   </t>
  </si>
  <si>
    <t xml:space="preserve"> </t>
  </si>
  <si>
    <t>(Inclusive of supply and installation)</t>
  </si>
  <si>
    <t>Notes &amp; Clarifications</t>
  </si>
  <si>
    <r>
      <t>1.</t>
    </r>
    <r>
      <rPr>
        <sz val="7"/>
        <color theme="1"/>
        <rFont val="Times New Roman"/>
        <family val="1"/>
      </rPr>
      <t xml:space="preserve">       </t>
    </r>
    <r>
      <rPr>
        <sz val="11"/>
        <color theme="1"/>
        <rFont val="Calibri"/>
        <family val="2"/>
        <scheme val="minor"/>
      </rPr>
      <t> </t>
    </r>
  </si>
  <si>
    <r>
      <t>2.</t>
    </r>
    <r>
      <rPr>
        <sz val="7"/>
        <color theme="1"/>
        <rFont val="Times New Roman"/>
        <family val="1"/>
      </rPr>
      <t xml:space="preserve">       </t>
    </r>
    <r>
      <rPr>
        <sz val="11"/>
        <color theme="1"/>
        <rFont val="Calibri"/>
        <family val="2"/>
        <scheme val="minor"/>
      </rPr>
      <t> </t>
    </r>
  </si>
  <si>
    <t>TERMS AND CONDITIONS</t>
  </si>
  <si>
    <t>Client</t>
  </si>
  <si>
    <t>Project Reference</t>
  </si>
  <si>
    <t>Site Address</t>
  </si>
  <si>
    <t>Date</t>
  </si>
  <si>
    <t>Contact</t>
  </si>
  <si>
    <t>Client:</t>
  </si>
  <si>
    <t xml:space="preserve">Project Reference: </t>
  </si>
  <si>
    <t>Library and Brandon Youth</t>
  </si>
  <si>
    <t>Library and Brandon youth centre, 19 Maddock Way Cooks Road, SE17 3NH</t>
  </si>
  <si>
    <t>Date:</t>
  </si>
  <si>
    <t>Pride Developments</t>
  </si>
  <si>
    <t>Sub – Total:</t>
  </si>
  <si>
    <t xml:space="preserve">VAT (20%): </t>
  </si>
  <si>
    <t>Total Quotation Value:</t>
  </si>
  <si>
    <t>1. This price excludes EPDM, internal finishes, skips, and scaffolding, which are assumed to be provided by others. Should you require cost information for any of these elements, we would be happy to provide it.</t>
  </si>
  <si>
    <t xml:space="preserve">estimating@fensterglazing.com / adam@fensterglazing.com </t>
  </si>
  <si>
    <r>
      <t xml:space="preserve">Quotation Summary: </t>
    </r>
    <r>
      <rPr>
        <b/>
        <sz val="12"/>
        <color rgb="FFFF0000"/>
        <rFont val="Calibri"/>
        <family val="2"/>
        <scheme val="minor"/>
      </rPr>
      <t xml:space="preserve">Aluminium/uPVC/Composite Units  </t>
    </r>
  </si>
  <si>
    <t>Design changes</t>
  </si>
  <si>
    <r>
      <rPr>
        <b/>
        <sz val="10"/>
        <color theme="1"/>
        <rFont val="Calibri"/>
        <family val="2"/>
        <scheme val="minor"/>
      </rPr>
      <t xml:space="preserve">1.	Consumer Notice </t>
    </r>
    <r>
      <rPr>
        <sz val="10"/>
        <color theme="1"/>
        <rFont val="Calibri"/>
        <family val="2"/>
        <scheme val="minor"/>
      </rPr>
      <t xml:space="preserve">
Where the client is acting as a consumer, nothing in these Terms and Conditions shall affect the client’s statutory rights under the Consumer Rights Act 2015 or related consumer protection legislation.</t>
    </r>
  </si>
  <si>
    <r>
      <rPr>
        <b/>
        <sz val="10"/>
        <color theme="1"/>
        <rFont val="Calibri"/>
        <family val="2"/>
        <scheme val="minor"/>
      </rPr>
      <t>2.	Quotation Validity</t>
    </r>
    <r>
      <rPr>
        <sz val="10"/>
        <color theme="1"/>
        <rFont val="Calibri"/>
        <family val="2"/>
        <scheme val="minor"/>
      </rPr>
      <t xml:space="preserve">
All quotations provided by Fenster Glazing &amp; Locks Ltd are valid for 30 days from the date of issue, unless agreed otherwise. All quotations are subject to final site survey and measurement verification.</t>
    </r>
  </si>
  <si>
    <r>
      <rPr>
        <b/>
        <sz val="10"/>
        <color theme="1"/>
        <rFont val="Calibri"/>
        <family val="2"/>
        <scheme val="minor"/>
      </rPr>
      <t>3.	Deposit and Payment Terms</t>
    </r>
    <r>
      <rPr>
        <sz val="10"/>
        <color theme="1"/>
        <rFont val="Calibri"/>
        <family val="2"/>
        <scheme val="minor"/>
      </rPr>
      <t xml:space="preserve">
Fenster Glazing &amp; Locks Ltd requires receipt of a Purchase Order or a deposit of 50% of the total quotation value prior to commencement of works, in order to secure scheduling and procurement of materials. The remaining 50% balance is due upon completion of installation and client sign-off.</t>
    </r>
  </si>
  <si>
    <r>
      <rPr>
        <b/>
        <sz val="10"/>
        <color theme="1"/>
        <rFont val="Calibri"/>
        <family val="2"/>
        <scheme val="minor"/>
      </rPr>
      <t>4.	Late Payment</t>
    </r>
    <r>
      <rPr>
        <sz val="10"/>
        <color theme="1"/>
        <rFont val="Calibri"/>
        <family val="2"/>
        <scheme val="minor"/>
      </rPr>
      <t xml:space="preserve">
All invoices are payable in accordance with the terms above. Any sums not paid within 30 calendar days of the invoice date will be considered overdue and will attract interest at the statutory rate of 4% per annum above the Bank of England base rate, applicable at the time.</t>
    </r>
  </si>
  <si>
    <r>
      <rPr>
        <b/>
        <sz val="10"/>
        <color theme="1"/>
        <rFont val="Calibri"/>
        <family val="2"/>
        <scheme val="minor"/>
      </rPr>
      <t>5.	Guarantee and Warranty</t>
    </r>
    <r>
      <rPr>
        <sz val="10"/>
        <color theme="1"/>
        <rFont val="Calibri"/>
        <family val="2"/>
        <scheme val="minor"/>
      </rPr>
      <t xml:space="preserve">
Fenster Glazing &amp; Locks Ltd provides a 10-year warranty covering all glass and frame products supplied and installed by the company. This warranty covers defects in materials (as supplied) and workmanship (installation). Furthermore, this warranty is subject to the terms and conditions of any applicable manufacturer warranties. It does not cover damage resulting from misuse, accidental or intentional damage, vandalism, inadequate or incorrect maintenance, or external factors, including severe weather conditions.</t>
    </r>
  </si>
  <si>
    <r>
      <rPr>
        <b/>
        <sz val="10"/>
        <color theme="1"/>
        <rFont val="Calibri"/>
        <family val="2"/>
        <scheme val="minor"/>
      </rPr>
      <t>6.	Order Confirmation &amp; Site Survey</t>
    </r>
    <r>
      <rPr>
        <sz val="10"/>
        <color theme="1"/>
        <rFont val="Calibri"/>
        <family val="2"/>
        <scheme val="minor"/>
      </rPr>
      <t xml:space="preserve">
Upon receipt of a valid Purchase Order, the quotation shall be converted into an order confirmation. A site survey shall then be undertaken to verify final measurements and site conditions. Where required, the order confirmation shall be updated and reissued to reflect verified measurements or agreed amendments.
A sign-off sheet will be issued for client approval prior to manufacture or procurement of materials. Any changes to specifications, measurements, or costs identified as a result of the site survey or client-requested amendments shall be confirmed in writing and agreed prior to proceeding.</t>
    </r>
  </si>
  <si>
    <r>
      <rPr>
        <b/>
        <sz val="10"/>
        <color theme="1"/>
        <rFont val="Calibri"/>
        <family val="2"/>
        <scheme val="minor"/>
      </rPr>
      <t>7.	Manufacture, Delivery, and Installation</t>
    </r>
    <r>
      <rPr>
        <sz val="10"/>
        <color theme="1"/>
        <rFont val="Calibri"/>
        <family val="2"/>
        <scheme val="minor"/>
      </rPr>
      <t xml:space="preserve">
Manufacture and procurement of materials shall commence only following receipt of the signed sign-off sheet. Once manufacture has commenced, changes or cancellations may not be possible and, where accommodated, may be subject to additional costs and revised lead times.
Upon completion of manufacture, goods shall be delivered either to Fenster Glazing &amp; Locks Ltd’s warehouse or directly to site, as agreed. Installation shall be carried out by Fenster Glazing &amp; Locks Ltd in accordance with the agreed order confirmation and programme.
Installation dates are indicative and subject to site readiness, access, and the client fulfilling its obligations.</t>
    </r>
  </si>
  <si>
    <r>
      <rPr>
        <b/>
        <sz val="10"/>
        <color theme="1"/>
        <rFont val="Calibri"/>
        <family val="2"/>
        <scheme val="minor"/>
      </rPr>
      <t>8.	Supplier Delays and Liability</t>
    </r>
    <r>
      <rPr>
        <sz val="10"/>
        <color theme="1"/>
        <rFont val="Calibri"/>
        <family val="2"/>
        <scheme val="minor"/>
      </rPr>
      <t xml:space="preserve">
Fenster Glazing &amp; Locks Ltd shall not be liable for delays, additional costs, losses, or consequential damages arising from delays, defects, or errors caused by third-party suppliers or manufacturers.
Fenster Glazing &amp; Locks Ltd will use reasonable endeavours to mitigate the impact of such delays and shall keep the client informed of any material changes to programme or availability. Where reasonably possible, alternative solutions may be proposed for the client’s consideration.</t>
    </r>
  </si>
  <si>
    <r>
      <rPr>
        <b/>
        <sz val="10"/>
        <color theme="1"/>
        <rFont val="Calibri"/>
        <family val="2"/>
        <scheme val="minor"/>
      </rPr>
      <t>9.	Site Access and Conditions</t>
    </r>
    <r>
      <rPr>
        <sz val="10"/>
        <color theme="1"/>
        <rFont val="Calibri"/>
        <family val="2"/>
        <scheme val="minor"/>
      </rPr>
      <t xml:space="preserve">
The client shall be responsible for ensuring that safe, clear, and uninterrupted access to the installation site is available during agreed working hours and that site conditions are suitable for the works to proceed.
Fenster Glazing &amp; Locks Ltd reserves the right to suspend works where suitable access or site conditions are not provided. Any additional costs incurred as a result of restricted access, inadequate site conditions, or delays beyond Fenster Glazing &amp; Locks Ltd’s control may be charged to the client.</t>
    </r>
  </si>
  <si>
    <r>
      <rPr>
        <b/>
        <sz val="10"/>
        <color theme="1"/>
        <rFont val="Calibri"/>
        <family val="2"/>
        <scheme val="minor"/>
      </rPr>
      <t>10.	Health and Safety</t>
    </r>
    <r>
      <rPr>
        <sz val="10"/>
        <color theme="1"/>
        <rFont val="Calibri"/>
        <family val="2"/>
        <scheme val="minor"/>
      </rPr>
      <t xml:space="preserve">
Fenster Glazing &amp; Locks Ltd shall carry out all works in accordance with applicable UK health and safety legislation. The client shall be responsible for ensuring that the site and working environment comply with all relevant health and safety requirements, including the Construction (Design and Management) Regulations 2015.
Fenster Glazing &amp; Locks Ltd reserves the right to suspend works without penalty where site conditions are deemed unsafe or non-compliant with applicable health and safety requirements.</t>
    </r>
  </si>
  <si>
    <r>
      <rPr>
        <b/>
        <sz val="10"/>
        <color theme="1"/>
        <rFont val="Calibri"/>
        <family val="2"/>
        <scheme val="minor"/>
      </rPr>
      <t>11.	Cancellation and Postponement</t>
    </r>
    <r>
      <rPr>
        <sz val="10"/>
        <color theme="1"/>
        <rFont val="Calibri"/>
        <family val="2"/>
        <scheme val="minor"/>
      </rPr>
      <t xml:space="preserve">
Should the client cancel or postpone the contract following procurement of materials or commencement of works, Fenster Glazing &amp; Locks Ltd reserves the right to retain the deposit and recover any additional costs incurred up to the date of cancellation or postponement.
All goods supplied by Fenster Glazing &amp; Locks Ltd are bespoke or made to order, and retention of the deposit reflects costs incurred in procurement, manufacture, and administration.</t>
    </r>
  </si>
  <si>
    <r>
      <rPr>
        <b/>
        <sz val="10"/>
        <color theme="1"/>
        <rFont val="Calibri"/>
        <family val="2"/>
        <scheme val="minor"/>
      </rPr>
      <t>12.	Force Majeure</t>
    </r>
    <r>
      <rPr>
        <sz val="10"/>
        <color theme="1"/>
        <rFont val="Calibri"/>
        <family val="2"/>
        <scheme val="minor"/>
      </rPr>
      <t xml:space="preserve">
Fenster Glazing &amp; Locks Ltd shall not be liable for any failure or delay in the performance of its obligations under this agreement where such failure or delay arises from events or circumstances beyond its reasonable control, including but not limited to natural disasters, extreme weather conditions, industrial action, government restrictions, pandemics, or significant supply chain disruption.</t>
    </r>
  </si>
  <si>
    <r>
      <rPr>
        <b/>
        <sz val="10"/>
        <color theme="1"/>
        <rFont val="Calibri"/>
        <family val="2"/>
        <scheme val="minor"/>
      </rPr>
      <t>13.	Limitation of Liability</t>
    </r>
    <r>
      <rPr>
        <sz val="10"/>
        <color theme="1"/>
        <rFont val="Calibri"/>
        <family val="2"/>
        <scheme val="minor"/>
      </rPr>
      <t xml:space="preserve">
To the extent permitted by law, Fenster Glazing &amp; Locks Ltd’s total liability arising out of or in connection with the contract shall be limited to the total contract value. Fenster Glazing &amp; Locks Ltd shall not be liable for any indirect or consequential loss, loss of profit, or loss of business.
Nothing in these Terms and Conditions shall limit or exclude liability for death or personal injury caused by negligence, fraud, or any matter which cannot lawfully be excluded.</t>
    </r>
  </si>
  <si>
    <r>
      <t xml:space="preserve">14.	Retention of Title
</t>
    </r>
    <r>
      <rPr>
        <sz val="10"/>
        <color theme="1"/>
        <rFont val="Calibri"/>
        <family val="2"/>
        <scheme val="minor"/>
      </rPr>
      <t>All materials supplied by Fenster Glazing &amp; Locks Ltd shall remain the property of Fenster Glazing &amp; Locks Ltd until payment has been received in full.</t>
    </r>
  </si>
  <si>
    <r>
      <rPr>
        <b/>
        <sz val="10"/>
        <color theme="1"/>
        <rFont val="Calibri"/>
        <family val="2"/>
        <scheme val="minor"/>
      </rPr>
      <t>15.	Intellectual Property</t>
    </r>
    <r>
      <rPr>
        <sz val="10"/>
        <color theme="1"/>
        <rFont val="Calibri"/>
        <family val="2"/>
        <scheme val="minor"/>
      </rPr>
      <t xml:space="preserve">
All design work, drawings, plans, and bespoke glazing system solutions provided by Fenster Glazing &amp; Locks Ltd shall remain the intellectual property of Fenster Glazing &amp; Locks Ltd unless otherwise agreed in writing.
The client shall not reproduce or permit use of such materials by third parties without prior written consent.</t>
    </r>
  </si>
  <si>
    <r>
      <rPr>
        <b/>
        <sz val="10"/>
        <color theme="1"/>
        <rFont val="Calibri"/>
        <family val="2"/>
        <scheme val="minor"/>
      </rPr>
      <t>16.	Design Responsibility</t>
    </r>
    <r>
      <rPr>
        <sz val="10"/>
        <color theme="1"/>
        <rFont val="Calibri"/>
        <family val="2"/>
        <scheme val="minor"/>
      </rPr>
      <t xml:space="preserve">
Fenster Glazing &amp; Locks Ltd is not responsible for overall design intent, architectural suitability, or regulatory strategy and relies on information, drawings, and specifications provided by the client or their professional team. Responsibility is limited to measurement verification, supply, and installation of the agreed glazing systems.</t>
    </r>
  </si>
  <si>
    <r>
      <rPr>
        <b/>
        <sz val="10"/>
        <color theme="1"/>
        <rFont val="Calibri"/>
        <family val="2"/>
        <scheme val="minor"/>
      </rPr>
      <t>17.	Dispute Resolution</t>
    </r>
    <r>
      <rPr>
        <sz val="10"/>
        <color theme="1"/>
        <rFont val="Calibri"/>
        <family val="2"/>
        <scheme val="minor"/>
      </rPr>
      <t xml:space="preserve">
Fenster Glazing &amp; Locks Ltd aims to resolve any disputes amicably and professionally. Where a dispute cannot be resolved through informal discussion, the parties shall first seek to resolve the matter through mediation by an independent mediator agreed between them, prior to commencing any legal proceedings.
Nothing in this clause shall prevent either party from seeking urgent injunctive or interim relief.</t>
    </r>
  </si>
  <si>
    <r>
      <rPr>
        <b/>
        <sz val="10"/>
        <color theme="1"/>
        <rFont val="Calibri"/>
        <family val="2"/>
        <scheme val="minor"/>
      </rPr>
      <t>18.	Governing Law and Jurisdiction</t>
    </r>
    <r>
      <rPr>
        <sz val="10"/>
        <color theme="1"/>
        <rFont val="Calibri"/>
        <family val="2"/>
        <scheme val="minor"/>
      </rPr>
      <t xml:space="preserve">
These Terms and Conditions shall be governed by and construed in accordance with the laws of England and Wales. The parties agree to submit to the exclusive jurisdiction of the courts of England and Wales in relation to any dispute arising out of or in connection with these Terms and Conditions.</t>
    </r>
  </si>
  <si>
    <r>
      <rPr>
        <b/>
        <sz val="10"/>
        <color theme="1"/>
        <rFont val="Calibri"/>
        <family val="2"/>
        <scheme val="minor"/>
      </rPr>
      <t>19.	Acceptance</t>
    </r>
    <r>
      <rPr>
        <sz val="10"/>
        <color theme="1"/>
        <rFont val="Calibri"/>
        <family val="2"/>
        <scheme val="minor"/>
      </rPr>
      <t xml:space="preserve">
By engaging Fenster Glazing &amp; Locks Ltd for the supply of goods and provision of installation services, the client confirms acceptance of these Standard Terms and Conditions, unless otherwise expressly agreed in writing.</t>
    </r>
  </si>
  <si>
    <r>
      <rPr>
        <b/>
        <sz val="10"/>
        <color theme="1"/>
        <rFont val="Calibri"/>
        <family val="2"/>
        <scheme val="minor"/>
      </rPr>
      <t>20.	Amendments to Terms and Conditions</t>
    </r>
    <r>
      <rPr>
        <sz val="10"/>
        <color theme="1"/>
        <rFont val="Calibri"/>
        <family val="2"/>
        <scheme val="minor"/>
      </rPr>
      <t xml:space="preserve">
Fenster Glazing &amp; Locks Ltd reserves the right to amend these Terms and Conditions from time to time. Where any material amendments are made, clients will be notified in writing.
Any amendments shall apply to future contracts only and shall not affect existing agreements unless agreed in writing.</t>
    </r>
  </si>
  <si>
    <t>TOTAL*</t>
  </si>
  <si>
    <r>
      <t>**</t>
    </r>
    <r>
      <rPr>
        <sz val="11"/>
        <color theme="1"/>
        <rFont val="Calibri"/>
        <family val="2"/>
        <scheme val="minor"/>
      </rPr>
      <t xml:space="preserve"> </t>
    </r>
    <r>
      <rPr>
        <i/>
        <sz val="11"/>
        <color theme="1"/>
        <rFont val="Calibri"/>
        <family val="2"/>
        <scheme val="minor"/>
      </rPr>
      <t>This pricing document should be read in conjunction with the accompanying cover letter and Standard Terms and Conditions.</t>
    </r>
  </si>
  <si>
    <r>
      <t xml:space="preserve">* </t>
    </r>
    <r>
      <rPr>
        <sz val="11"/>
        <color theme="1"/>
        <rFont val="Calibri"/>
        <family val="2"/>
        <scheme val="minor"/>
      </rPr>
      <t xml:space="preserve">Total value excluding VAT. </t>
    </r>
  </si>
  <si>
    <t xml:space="preserve">notes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</si>
</sst>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Red]\-&quot;£&quot;#,##0.00"/>
    <numFmt numFmtId="44" formatCode="_-&quot;£&quot;* #,##0.00_-;\-&quot;£&quot;* #,##0.00_-;_-&quot;£&quot;* &quot;-&quot;??_-;_-@_-"/>
    <numFmt numFmtId="43" formatCode="_-* #,##0.00_-;\-* #,##0.00_-;_-* &quot;-&quot;??_-;_-@_-"/>
    <numFmt numFmtId="164" formatCode="General_)"/>
  </numFmts>
  <fonts count="27">
    <font>
      <sz val="11"/>
      <color theme="1"/>
      <name val="Calibri"/>
      <family val="2"/>
      <scheme val="minor"/>
    </font>
    <font>
      <sz val="11"/>
      <color theme="1"/>
      <name val="Calibri"/>
      <family val="2"/>
      <scheme val="minor"/>
    </font>
    <font>
      <sz val="10"/>
      <name val="Gill Sans"/>
      <family val="2"/>
    </font>
    <font>
      <sz val="10"/>
      <name val="Courier"/>
      <family val="3"/>
    </font>
    <font>
      <sz val="10"/>
      <name val="Arial"/>
      <family val="2"/>
    </font>
    <font>
      <b/>
      <sz val="10"/>
      <name val="Arial"/>
      <family val="2"/>
    </font>
    <font>
      <b/>
      <sz val="10"/>
      <name val="Calibri"/>
      <family val="2"/>
      <scheme val="minor"/>
    </font>
    <font>
      <b/>
      <sz val="12"/>
      <color theme="0"/>
      <name val="Calibri"/>
      <family val="2"/>
      <scheme val="minor"/>
    </font>
    <font>
      <b/>
      <sz val="16"/>
      <color theme="1"/>
      <name val="Calibri"/>
      <family val="2"/>
      <scheme val="minor"/>
    </font>
    <font>
      <sz val="10"/>
      <color rgb="FF000000"/>
      <name val="Times New Roman"/>
      <family val="1"/>
    </font>
    <font>
      <u/>
      <sz val="10"/>
      <color theme="10"/>
      <name val="Times New Roman"/>
      <family val="1"/>
    </font>
    <font>
      <b/>
      <sz val="18"/>
      <color theme="1"/>
      <name val="Calibri"/>
      <family val="2"/>
      <scheme val="minor"/>
    </font>
    <font>
      <sz val="8"/>
      <name val="Calibri"/>
      <family val="2"/>
      <scheme val="minor"/>
    </font>
    <font>
      <sz val="14"/>
      <color theme="1"/>
      <name val="Calibri"/>
      <family val="2"/>
      <scheme val="minor"/>
    </font>
    <font>
      <sz val="16"/>
      <color theme="1"/>
      <name val="Calibri"/>
      <family val="2"/>
      <scheme val="minor"/>
    </font>
    <font>
      <sz val="11"/>
      <name val="Arial"/>
      <family val="2"/>
    </font>
    <font>
      <b/>
      <sz val="11"/>
      <color theme="1"/>
      <name val="Calibri"/>
      <family val="2"/>
      <scheme val="minor"/>
    </font>
    <font>
      <i/>
      <sz val="11"/>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sz val="7"/>
      <color theme="1"/>
      <name val="Times New Roman"/>
      <family val="1"/>
    </font>
    <font>
      <b/>
      <u/>
      <sz val="12"/>
      <color rgb="FF000000"/>
      <name val="Calibri"/>
      <family val="2"/>
      <scheme val="minor"/>
    </font>
    <font>
      <sz val="10"/>
      <color theme="1"/>
      <name val="Calibri"/>
      <family val="2"/>
      <scheme val="minor"/>
    </font>
    <font>
      <b/>
      <sz val="10"/>
      <color theme="1"/>
      <name val="Calibri"/>
      <family val="2"/>
      <scheme val="minor"/>
    </font>
    <font>
      <b/>
      <sz val="12"/>
      <color rgb="FFFF0000"/>
      <name val="Calibri"/>
      <family val="2"/>
      <scheme val="minor"/>
    </font>
    <font>
      <b/>
      <sz val="11"/>
      <color rgb="FFFF000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s>
  <borders count="30">
    <border>
      <left/>
      <right/>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diagonal/>
    </border>
    <border>
      <left style="medium">
        <color indexed="64"/>
      </left>
      <right/>
      <top style="thin">
        <color indexed="64"/>
      </top>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style="hair">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hair">
        <color auto="1"/>
      </top>
      <bottom style="hair">
        <color auto="1"/>
      </bottom>
      <diagonal/>
    </border>
    <border>
      <left/>
      <right/>
      <top style="thin">
        <color auto="1"/>
      </top>
      <bottom/>
      <diagonal/>
    </border>
    <border>
      <left style="thin">
        <color indexed="64"/>
      </left>
      <right/>
      <top style="medium">
        <color indexed="64"/>
      </top>
      <bottom style="medium">
        <color indexed="64"/>
      </bottom>
      <diagonal/>
    </border>
    <border>
      <left style="medium">
        <color rgb="FF333F4F"/>
      </left>
      <right/>
      <top style="medium">
        <color rgb="FF333F4F"/>
      </top>
      <bottom/>
      <diagonal/>
    </border>
    <border>
      <left/>
      <right/>
      <top style="medium">
        <color rgb="FF333F4F"/>
      </top>
      <bottom/>
      <diagonal/>
    </border>
    <border>
      <left/>
      <right style="medium">
        <color rgb="FF333F4F"/>
      </right>
      <top style="medium">
        <color rgb="FF333F4F"/>
      </top>
      <bottom/>
      <diagonal/>
    </border>
    <border>
      <left style="medium">
        <color rgb="FF333F4F"/>
      </left>
      <right/>
      <top/>
      <bottom/>
      <diagonal/>
    </border>
    <border>
      <left/>
      <right style="medium">
        <color rgb="FF333F4F"/>
      </right>
      <top/>
      <bottom/>
      <diagonal/>
    </border>
    <border>
      <left style="medium">
        <color rgb="FF333F4F"/>
      </left>
      <right/>
      <top/>
      <bottom style="medium">
        <color rgb="FF333F4F"/>
      </bottom>
      <diagonal/>
    </border>
    <border>
      <left/>
      <right/>
      <top/>
      <bottom style="medium">
        <color rgb="FF333F4F"/>
      </bottom>
      <diagonal/>
    </border>
    <border>
      <left/>
      <right style="medium">
        <color rgb="FF333F4F"/>
      </right>
      <top/>
      <bottom style="medium">
        <color rgb="FF333F4F"/>
      </bottom>
      <diagonal/>
    </border>
  </borders>
  <cellStyleXfs count="10">
    <xf numFmtId="0" fontId="0" fillId="0" borderId="0"/>
    <xf numFmtId="43" fontId="1" fillId="0" borderId="0" applyFont="0" applyFill="0" applyBorder="0" applyAlignment="0" applyProtection="0"/>
    <xf numFmtId="164" fontId="3" fillId="0" borderId="0"/>
    <xf numFmtId="0" fontId="9" fillId="0" borderId="0"/>
    <xf numFmtId="44" fontId="9" fillId="0" borderId="0" applyFont="0" applyFill="0" applyBorder="0" applyAlignment="0" applyProtection="0"/>
    <xf numFmtId="0" fontId="10" fillId="0" borderId="0" applyNumberFormat="0" applyFill="0" applyBorder="0" applyAlignment="0" applyProtection="0"/>
    <xf numFmtId="0" fontId="4" fillId="0" borderId="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90">
    <xf numFmtId="0" fontId="0" fillId="0" borderId="0" xfId="0"/>
    <xf numFmtId="0" fontId="0" fillId="0" borderId="0" xfId="0" applyAlignment="1">
      <alignment horizontal="center" vertical="center"/>
    </xf>
    <xf numFmtId="0" fontId="0" fillId="0" borderId="0" xfId="0" applyAlignment="1">
      <alignment vertical="center"/>
    </xf>
    <xf numFmtId="0" fontId="2" fillId="0" borderId="0" xfId="0" applyFont="1"/>
    <xf numFmtId="0" fontId="4" fillId="0" borderId="14" xfId="0" quotePrefix="1" applyFont="1" applyBorder="1" applyAlignment="1">
      <alignment horizontal="center" vertical="center"/>
    </xf>
    <xf numFmtId="43" fontId="4" fillId="0" borderId="17" xfId="1" applyFont="1" applyBorder="1" applyAlignment="1">
      <alignment horizontal="left" wrapText="1"/>
    </xf>
    <xf numFmtId="43" fontId="4" fillId="0" borderId="19" xfId="1" applyFont="1" applyBorder="1" applyAlignment="1">
      <alignment horizontal="right" vertical="center"/>
    </xf>
    <xf numFmtId="43" fontId="4" fillId="0" borderId="17" xfId="1" applyFont="1" applyBorder="1" applyAlignment="1">
      <alignment horizontal="left" vertical="center" wrapText="1" indent="1"/>
    </xf>
    <xf numFmtId="8" fontId="4" fillId="0" borderId="15" xfId="0" applyNumberFormat="1" applyFont="1" applyBorder="1" applyAlignment="1">
      <alignment horizontal="left" vertical="center"/>
    </xf>
    <xf numFmtId="43" fontId="2" fillId="0" borderId="15" xfId="1" applyFont="1" applyFill="1" applyBorder="1" applyAlignment="1">
      <alignment horizontal="right" vertical="center"/>
    </xf>
    <xf numFmtId="43" fontId="4" fillId="0" borderId="17" xfId="1" applyFont="1" applyFill="1" applyBorder="1" applyAlignment="1">
      <alignment horizontal="left" vertical="center" wrapText="1" indent="1"/>
    </xf>
    <xf numFmtId="0" fontId="8" fillId="2" borderId="1" xfId="0" applyFont="1" applyFill="1" applyBorder="1" applyAlignment="1">
      <alignment vertical="center" wrapText="1"/>
    </xf>
    <xf numFmtId="0" fontId="8" fillId="2" borderId="2" xfId="0" applyFont="1" applyFill="1" applyBorder="1" applyAlignment="1">
      <alignment vertical="center" wrapText="1"/>
    </xf>
    <xf numFmtId="0" fontId="5" fillId="0" borderId="15" xfId="0" applyFont="1" applyBorder="1" applyAlignment="1">
      <alignment horizontal="left" wrapText="1" indent="2"/>
    </xf>
    <xf numFmtId="0" fontId="5" fillId="0" borderId="17" xfId="0" applyFont="1" applyBorder="1" applyAlignment="1">
      <alignment horizontal="left" wrapText="1" indent="2"/>
    </xf>
    <xf numFmtId="43" fontId="4" fillId="0" borderId="17" xfId="1" applyFont="1" applyFill="1" applyBorder="1" applyAlignment="1">
      <alignment horizontal="left" wrapText="1"/>
    </xf>
    <xf numFmtId="0" fontId="0" fillId="0" borderId="16" xfId="0" applyBorder="1" applyAlignment="1">
      <alignment horizontal="center"/>
    </xf>
    <xf numFmtId="9" fontId="0" fillId="0" borderId="0" xfId="0" applyNumberFormat="1"/>
    <xf numFmtId="44" fontId="2" fillId="0" borderId="0" xfId="9" applyFont="1"/>
    <xf numFmtId="0" fontId="0" fillId="0" borderId="16" xfId="0" applyBorder="1" applyAlignment="1">
      <alignment horizontal="left"/>
    </xf>
    <xf numFmtId="43" fontId="2" fillId="0" borderId="15" xfId="1" applyFont="1" applyFill="1" applyBorder="1" applyAlignment="1">
      <alignment horizontal="center" vertical="center"/>
    </xf>
    <xf numFmtId="8" fontId="4" fillId="0" borderId="15" xfId="0" applyNumberFormat="1" applyFont="1" applyBorder="1" applyAlignment="1">
      <alignment horizontal="center" vertical="center"/>
    </xf>
    <xf numFmtId="0" fontId="16" fillId="0" borderId="0" xfId="0" applyFont="1"/>
    <xf numFmtId="43" fontId="4" fillId="4" borderId="11" xfId="1" applyFont="1" applyFill="1" applyBorder="1" applyAlignment="1"/>
    <xf numFmtId="43" fontId="4" fillId="4" borderId="1" xfId="1" applyFont="1" applyFill="1" applyBorder="1" applyAlignment="1">
      <alignment horizontal="center"/>
    </xf>
    <xf numFmtId="43" fontId="4" fillId="4" borderId="1" xfId="1" applyFont="1" applyFill="1" applyBorder="1" applyAlignment="1"/>
    <xf numFmtId="44" fontId="4" fillId="4" borderId="2" xfId="9" applyFont="1" applyFill="1" applyBorder="1" applyAlignment="1"/>
    <xf numFmtId="43" fontId="4" fillId="4" borderId="3" xfId="1" applyFont="1" applyFill="1" applyBorder="1" applyAlignment="1"/>
    <xf numFmtId="43" fontId="4" fillId="4" borderId="0" xfId="1" applyFont="1" applyFill="1" applyBorder="1" applyAlignment="1">
      <alignment horizontal="left"/>
    </xf>
    <xf numFmtId="43" fontId="4" fillId="4" borderId="0" xfId="1" applyFont="1" applyFill="1" applyBorder="1" applyAlignment="1"/>
    <xf numFmtId="44" fontId="4" fillId="4" borderId="4" xfId="9" applyFont="1" applyFill="1" applyBorder="1" applyAlignment="1"/>
    <xf numFmtId="0" fontId="4" fillId="4" borderId="3" xfId="0" applyFont="1" applyFill="1" applyBorder="1"/>
    <xf numFmtId="0" fontId="5" fillId="4" borderId="0" xfId="0" applyFont="1" applyFill="1" applyAlignment="1">
      <alignment horizontal="left" wrapText="1"/>
    </xf>
    <xf numFmtId="44" fontId="5" fillId="4" borderId="4" xfId="9" applyFont="1" applyFill="1" applyBorder="1" applyAlignment="1">
      <alignment horizontal="right"/>
    </xf>
    <xf numFmtId="0" fontId="4" fillId="4" borderId="5" xfId="0" applyFont="1" applyFill="1" applyBorder="1"/>
    <xf numFmtId="0" fontId="5" fillId="4" borderId="6" xfId="0" applyFont="1" applyFill="1" applyBorder="1" applyAlignment="1">
      <alignment horizontal="left" wrapText="1"/>
    </xf>
    <xf numFmtId="43" fontId="4" fillId="4" borderId="6" xfId="1" applyFont="1" applyFill="1" applyBorder="1" applyAlignment="1"/>
    <xf numFmtId="43" fontId="5" fillId="4" borderId="7" xfId="1" applyFont="1" applyFill="1" applyBorder="1" applyAlignment="1">
      <alignment horizontal="right"/>
    </xf>
    <xf numFmtId="0" fontId="4" fillId="4" borderId="22" xfId="0" applyFont="1" applyFill="1" applyBorder="1"/>
    <xf numFmtId="0" fontId="5" fillId="4" borderId="23" xfId="0" applyFont="1" applyFill="1" applyBorder="1" applyAlignment="1">
      <alignment horizontal="left" wrapText="1"/>
    </xf>
    <xf numFmtId="43" fontId="4" fillId="4" borderId="23" xfId="1" applyFont="1" applyFill="1" applyBorder="1" applyAlignment="1"/>
    <xf numFmtId="43" fontId="5" fillId="4" borderId="24" xfId="1" applyFont="1" applyFill="1" applyBorder="1" applyAlignment="1">
      <alignment horizontal="right"/>
    </xf>
    <xf numFmtId="0" fontId="4" fillId="4" borderId="25" xfId="0" applyFont="1" applyFill="1" applyBorder="1"/>
    <xf numFmtId="43" fontId="5" fillId="4" borderId="26" xfId="1" applyFont="1" applyFill="1" applyBorder="1" applyAlignment="1">
      <alignment horizontal="right"/>
    </xf>
    <xf numFmtId="0" fontId="15" fillId="4" borderId="0" xfId="0" applyFont="1" applyFill="1" applyAlignment="1">
      <alignment horizontal="center"/>
    </xf>
    <xf numFmtId="0" fontId="4" fillId="4" borderId="0" xfId="0" applyFont="1" applyFill="1"/>
    <xf numFmtId="44" fontId="4" fillId="4" borderId="26" xfId="9" applyFont="1" applyFill="1" applyBorder="1"/>
    <xf numFmtId="0" fontId="4" fillId="4" borderId="27" xfId="0" applyFont="1" applyFill="1" applyBorder="1"/>
    <xf numFmtId="0" fontId="4" fillId="4" borderId="28" xfId="0" applyFont="1" applyFill="1" applyBorder="1"/>
    <xf numFmtId="0" fontId="4" fillId="4" borderId="29" xfId="0" applyFont="1" applyFill="1" applyBorder="1"/>
    <xf numFmtId="164" fontId="5" fillId="4" borderId="12" xfId="2" applyFont="1" applyFill="1" applyBorder="1" applyAlignment="1">
      <alignment horizontal="center" vertical="center"/>
    </xf>
    <xf numFmtId="164" fontId="5" fillId="4" borderId="13" xfId="2" applyFont="1" applyFill="1" applyBorder="1" applyAlignment="1">
      <alignment horizontal="left" vertical="center"/>
    </xf>
    <xf numFmtId="164" fontId="5" fillId="4" borderId="21" xfId="2" applyFont="1" applyFill="1" applyBorder="1" applyAlignment="1">
      <alignment horizontal="center" vertical="center"/>
    </xf>
    <xf numFmtId="4" fontId="5" fillId="4" borderId="18" xfId="2" applyNumberFormat="1" applyFont="1" applyFill="1" applyBorder="1" applyAlignment="1">
      <alignment horizontal="center" vertical="center"/>
    </xf>
    <xf numFmtId="0" fontId="6" fillId="3" borderId="3" xfId="0" applyFont="1" applyFill="1" applyBorder="1" applyAlignment="1">
      <alignment horizontal="left" vertical="center"/>
    </xf>
    <xf numFmtId="0" fontId="0" fillId="3" borderId="0" xfId="0" applyFill="1" applyAlignment="1">
      <alignment horizontal="left" vertical="center"/>
    </xf>
    <xf numFmtId="43" fontId="0" fillId="3" borderId="10" xfId="0" applyNumberFormat="1" applyFill="1" applyBorder="1" applyAlignment="1">
      <alignment horizontal="left" vertical="center"/>
    </xf>
    <xf numFmtId="0" fontId="8" fillId="0" borderId="0" xfId="0" applyFont="1" applyAlignment="1">
      <alignment horizontal="left" vertical="center" indent="4"/>
    </xf>
    <xf numFmtId="0" fontId="18" fillId="0" borderId="0" xfId="0" applyFont="1" applyAlignment="1">
      <alignment horizontal="left" vertical="center" indent="4"/>
    </xf>
    <xf numFmtId="0" fontId="19" fillId="0" borderId="0" xfId="0" applyFont="1" applyAlignment="1">
      <alignment horizontal="left" vertical="center" indent="4"/>
    </xf>
    <xf numFmtId="0" fontId="16" fillId="0" borderId="0" xfId="0" applyFont="1" applyAlignment="1">
      <alignment vertical="center"/>
    </xf>
    <xf numFmtId="0" fontId="0" fillId="0" borderId="0" xfId="0" applyAlignment="1">
      <alignment wrapText="1"/>
    </xf>
    <xf numFmtId="0" fontId="0" fillId="0" borderId="0" xfId="0" applyAlignment="1">
      <alignment horizontal="center"/>
    </xf>
    <xf numFmtId="2" fontId="7" fillId="3" borderId="9" xfId="0" applyNumberFormat="1" applyFont="1" applyFill="1" applyBorder="1" applyAlignment="1">
      <alignment vertical="center"/>
    </xf>
    <xf numFmtId="2" fontId="7" fillId="3" borderId="20" xfId="0" applyNumberFormat="1" applyFont="1" applyFill="1" applyBorder="1" applyAlignment="1">
      <alignment vertical="center"/>
    </xf>
    <xf numFmtId="2" fontId="7" fillId="3" borderId="8" xfId="0" applyNumberFormat="1" applyFont="1" applyFill="1" applyBorder="1" applyAlignment="1">
      <alignment vertical="center"/>
    </xf>
    <xf numFmtId="0" fontId="7" fillId="3" borderId="3" xfId="0" applyFont="1" applyFill="1" applyBorder="1" applyAlignment="1">
      <alignment vertical="center"/>
    </xf>
    <xf numFmtId="0" fontId="7" fillId="3" borderId="0" xfId="0" applyFont="1" applyFill="1" applyAlignment="1">
      <alignment vertical="center"/>
    </xf>
    <xf numFmtId="0" fontId="7" fillId="3" borderId="4" xfId="0" applyFont="1" applyFill="1" applyBorder="1" applyAlignment="1">
      <alignment vertical="center"/>
    </xf>
    <xf numFmtId="14" fontId="7" fillId="3" borderId="0" xfId="0" applyNumberFormat="1" applyFont="1" applyFill="1" applyAlignment="1">
      <alignment horizontal="left" vertical="center"/>
    </xf>
    <xf numFmtId="44" fontId="20" fillId="0" borderId="0" xfId="0" applyNumberFormat="1" applyFont="1"/>
    <xf numFmtId="44" fontId="13" fillId="0" borderId="0" xfId="0" applyNumberFormat="1" applyFont="1"/>
    <xf numFmtId="0" fontId="20" fillId="0" borderId="0" xfId="0" applyFont="1" applyAlignment="1">
      <alignment horizontal="left" vertical="center" indent="4"/>
    </xf>
    <xf numFmtId="0" fontId="23" fillId="0" borderId="0" xfId="0" applyFont="1" applyAlignment="1">
      <alignment horizontal="left" vertical="center" indent="4"/>
    </xf>
    <xf numFmtId="0" fontId="1" fillId="0" borderId="0" xfId="0" applyFont="1" applyAlignment="1">
      <alignment horizontal="left" vertical="top" wrapText="1"/>
    </xf>
    <xf numFmtId="0" fontId="23" fillId="0" borderId="0" xfId="0" applyFont="1"/>
    <xf numFmtId="0" fontId="23" fillId="0" borderId="0" xfId="0" applyFont="1" applyAlignment="1">
      <alignment vertical="top"/>
    </xf>
    <xf numFmtId="2" fontId="24" fillId="0" borderId="0" xfId="0" applyNumberFormat="1" applyFont="1"/>
    <xf numFmtId="0" fontId="24" fillId="0" borderId="0" xfId="0" applyFont="1"/>
    <xf numFmtId="14" fontId="24" fillId="0" borderId="0" xfId="0" applyNumberFormat="1" applyFont="1" applyAlignment="1">
      <alignment horizontal="left"/>
    </xf>
    <xf numFmtId="0" fontId="26" fillId="0" borderId="0" xfId="0" applyFont="1" applyAlignment="1">
      <alignment vertical="center"/>
    </xf>
    <xf numFmtId="0" fontId="23" fillId="0" borderId="0" xfId="0" applyFont="1" applyAlignment="1">
      <alignment horizontal="left" vertical="top" wrapText="1"/>
    </xf>
    <xf numFmtId="0" fontId="0" fillId="0" borderId="0" xfId="0" applyAlignment="1">
      <alignment horizontal="center"/>
    </xf>
    <xf numFmtId="0" fontId="23" fillId="0" borderId="0" xfId="0" applyFont="1" applyAlignment="1">
      <alignment horizontal="left" vertical="top" wrapText="1"/>
    </xf>
    <xf numFmtId="0" fontId="22" fillId="0" borderId="0" xfId="0" applyFont="1" applyAlignment="1">
      <alignment horizontal="center" vertical="center"/>
    </xf>
    <xf numFmtId="0" fontId="24" fillId="0" borderId="0" xfId="0" applyFont="1" applyAlignment="1">
      <alignment horizontal="left" vertical="top" wrapText="1"/>
    </xf>
    <xf numFmtId="0" fontId="19" fillId="0" borderId="0" xfId="0" applyFont="1" applyAlignment="1">
      <alignment horizontal="center" vertical="center"/>
    </xf>
    <xf numFmtId="0" fontId="0" fillId="0" borderId="0" xfId="0" applyAlignment="1">
      <alignment horizontal="left" vertical="top" wrapText="1"/>
    </xf>
    <xf numFmtId="0" fontId="11" fillId="2" borderId="11" xfId="0" applyFont="1" applyFill="1" applyBorder="1" applyAlignment="1">
      <alignment horizontal="left" vertical="center" wrapText="1" indent="1"/>
    </xf>
    <xf numFmtId="0" fontId="4" fillId="4" borderId="0" xfId="0" applyFont="1" applyFill="1" applyBorder="1"/>
  </cellXfs>
  <cellStyles count="10">
    <cellStyle name="Comma" xfId="1" builtinId="3"/>
    <cellStyle name="Comma 2" xfId="8" xr:uid="{81CEFC51-4C2A-436C-A2C9-A66E1FF591F7}"/>
    <cellStyle name="Currency" xfId="9" builtinId="4"/>
    <cellStyle name="Currency 2" xfId="4" xr:uid="{45AD8AC9-3114-4D4C-A502-9A21B9039F94}"/>
    <cellStyle name="Currency 3" xfId="7" xr:uid="{1246749F-CD3B-4777-B6AF-21B6577C8F69}"/>
    <cellStyle name="Hyperlink 2" xfId="5" xr:uid="{48BB6550-F964-446B-A17D-0E19FF8A3742}"/>
    <cellStyle name="Normal" xfId="0" builtinId="0"/>
    <cellStyle name="Normal 2" xfId="6" xr:uid="{0E6D06DE-A11A-4CC1-BE43-B1EF8FF56ECA}"/>
    <cellStyle name="Normal 5" xfId="3" xr:uid="{7E353FCC-306B-4FE6-BA97-1E8F64BDB3FA}"/>
    <cellStyle name="Normal_Hand dug" xfId="2" xr:uid="{C04CEB16-3F41-48A1-ABAB-14F817E782F8}"/>
  </cellStyles>
  <dxfs count="0"/>
  <tableStyles count="0" defaultTableStyle="TableStyleMedium2" defaultPivotStyle="PivotStyleLight16"/>
  <colors>
    <mruColors>
      <color rgb="FF333F4F"/>
      <color rgb="FF009900"/>
      <color rgb="FFFF6699"/>
      <color rgb="FFFF9900"/>
      <color rgb="FFCECA0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1143000</xdr:colOff>
      <xdr:row>7</xdr:row>
      <xdr:rowOff>9525</xdr:rowOff>
    </xdr:from>
    <xdr:ext cx="3829050" cy="457200"/>
    <xdr:sp macro="" textlink="">
      <xdr:nvSpPr>
        <xdr:cNvPr id="13" name="TextBox 12">
          <a:extLst>
            <a:ext uri="{FF2B5EF4-FFF2-40B4-BE49-F238E27FC236}">
              <a16:creationId xmlns:a16="http://schemas.microsoft.com/office/drawing/2014/main" id="{2DD2467E-EABC-7EAA-EE98-417F68A80561}"/>
            </a:ext>
          </a:extLst>
        </xdr:cNvPr>
        <xdr:cNvSpPr txBox="1"/>
      </xdr:nvSpPr>
      <xdr:spPr>
        <a:xfrm>
          <a:off x="1143000" y="1343025"/>
          <a:ext cx="3829050" cy="457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200" i="1">
              <a:solidFill>
                <a:schemeClr val="tx1"/>
              </a:solidFill>
              <a:effectLst/>
              <a:latin typeface="+mn-lt"/>
              <a:ea typeface="+mn-ea"/>
              <a:cs typeface="+mn-cs"/>
            </a:rPr>
            <a:t>Thank </a:t>
          </a:r>
          <a:r>
            <a:rPr lang="en-GB" sz="1200" i="1">
              <a:solidFill>
                <a:schemeClr val="tx1"/>
              </a:solidFill>
              <a:effectLst/>
              <a:latin typeface="Italic"/>
              <a:ea typeface="+mn-ea"/>
              <a:cs typeface="+mn-cs"/>
            </a:rPr>
            <a:t>you</a:t>
          </a:r>
          <a:r>
            <a:rPr lang="en-GB" sz="1200" i="1">
              <a:solidFill>
                <a:schemeClr val="tx1"/>
              </a:solidFill>
              <a:effectLst/>
              <a:latin typeface="+mn-lt"/>
              <a:ea typeface="+mn-ea"/>
              <a:cs typeface="+mn-cs"/>
            </a:rPr>
            <a:t> for choosing Fenster Glazing to support you on this project.</a:t>
          </a:r>
          <a:endParaRPr lang="en-GB" sz="1200">
            <a:solidFill>
              <a:schemeClr val="tx1"/>
            </a:solidFill>
            <a:effectLst/>
            <a:latin typeface="+mn-lt"/>
            <a:ea typeface="+mn-ea"/>
            <a:cs typeface="+mn-cs"/>
          </a:endParaRPr>
        </a:p>
        <a:p>
          <a:endParaRPr lang="en-GB" sz="1100"/>
        </a:p>
      </xdr:txBody>
    </xdr:sp>
    <xdr:clientData/>
  </xdr:oneCellAnchor>
  <xdr:oneCellAnchor>
    <xdr:from>
      <xdr:col>0</xdr:col>
      <xdr:colOff>400050</xdr:colOff>
      <xdr:row>33</xdr:row>
      <xdr:rowOff>142875</xdr:rowOff>
    </xdr:from>
    <xdr:ext cx="5600700" cy="609013"/>
    <xdr:sp macro="" textlink="">
      <xdr:nvSpPr>
        <xdr:cNvPr id="16" name="TextBox 15">
          <a:extLst>
            <a:ext uri="{FF2B5EF4-FFF2-40B4-BE49-F238E27FC236}">
              <a16:creationId xmlns:a16="http://schemas.microsoft.com/office/drawing/2014/main" id="{AAF69D21-120B-7B70-E523-42395F265618}"/>
            </a:ext>
          </a:extLst>
        </xdr:cNvPr>
        <xdr:cNvSpPr txBox="1"/>
      </xdr:nvSpPr>
      <xdr:spPr>
        <a:xfrm>
          <a:off x="400050" y="7239000"/>
          <a:ext cx="5600700"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b="1" i="1">
              <a:solidFill>
                <a:schemeClr val="tx1"/>
              </a:solidFill>
              <a:effectLst/>
              <a:latin typeface="+mn-lt"/>
              <a:ea typeface="+mn-ea"/>
              <a:cs typeface="+mn-cs"/>
            </a:rPr>
            <a:t>Scope of Works</a:t>
          </a:r>
          <a:endParaRPr lang="en-GB" sz="1100">
            <a:solidFill>
              <a:schemeClr val="tx1"/>
            </a:solidFill>
            <a:effectLst/>
            <a:latin typeface="+mn-lt"/>
            <a:ea typeface="+mn-ea"/>
            <a:cs typeface="+mn-cs"/>
          </a:endParaRPr>
        </a:p>
        <a:p>
          <a:pPr algn="l"/>
          <a:r>
            <a:rPr lang="en-GB" sz="1100" i="1">
              <a:solidFill>
                <a:schemeClr val="tx1"/>
              </a:solidFill>
              <a:effectLst/>
              <a:latin typeface="+mn-lt"/>
              <a:ea typeface="+mn-ea"/>
              <a:cs typeface="+mn-cs"/>
            </a:rPr>
            <a:t>This quotation is for the supply and installation of the works detailed herein and in the attached pricing document, subject to our Standard Terms and Conditions.</a:t>
          </a:r>
          <a:endParaRPr lang="en-GB" sz="1100"/>
        </a:p>
      </xdr:txBody>
    </xdr:sp>
    <xdr:clientData/>
  </xdr:oneCellAnchor>
  <xdr:twoCellAnchor>
    <xdr:from>
      <xdr:col>0</xdr:col>
      <xdr:colOff>62534</xdr:colOff>
      <xdr:row>6</xdr:row>
      <xdr:rowOff>9525</xdr:rowOff>
    </xdr:from>
    <xdr:to>
      <xdr:col>3</xdr:col>
      <xdr:colOff>1209675</xdr:colOff>
      <xdr:row>6</xdr:row>
      <xdr:rowOff>12838</xdr:rowOff>
    </xdr:to>
    <xdr:cxnSp macro="">
      <xdr:nvCxnSpPr>
        <xdr:cNvPr id="18" name="Straight Connector 17">
          <a:extLst>
            <a:ext uri="{FF2B5EF4-FFF2-40B4-BE49-F238E27FC236}">
              <a16:creationId xmlns:a16="http://schemas.microsoft.com/office/drawing/2014/main" id="{C8036388-6164-1B04-6E27-8901999E54A5}"/>
            </a:ext>
          </a:extLst>
        </xdr:cNvPr>
        <xdr:cNvCxnSpPr/>
      </xdr:nvCxnSpPr>
      <xdr:spPr>
        <a:xfrm flipV="1">
          <a:off x="62534" y="1152525"/>
          <a:ext cx="5852491" cy="3313"/>
        </a:xfrm>
        <a:prstGeom prst="line">
          <a:avLst/>
        </a:prstGeom>
        <a:ln w="19050">
          <a:solidFill>
            <a:srgbClr val="333F4F"/>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99392</xdr:colOff>
      <xdr:row>9</xdr:row>
      <xdr:rowOff>74543</xdr:rowOff>
    </xdr:from>
    <xdr:to>
      <xdr:col>3</xdr:col>
      <xdr:colOff>1209261</xdr:colOff>
      <xdr:row>9</xdr:row>
      <xdr:rowOff>74543</xdr:rowOff>
    </xdr:to>
    <xdr:cxnSp macro="">
      <xdr:nvCxnSpPr>
        <xdr:cNvPr id="19" name="Straight Connector 18">
          <a:extLst>
            <a:ext uri="{FF2B5EF4-FFF2-40B4-BE49-F238E27FC236}">
              <a16:creationId xmlns:a16="http://schemas.microsoft.com/office/drawing/2014/main" id="{DD2DF170-2984-4EF1-BC8B-CF3946F9C89B}"/>
            </a:ext>
          </a:extLst>
        </xdr:cNvPr>
        <xdr:cNvCxnSpPr/>
      </xdr:nvCxnSpPr>
      <xdr:spPr>
        <a:xfrm>
          <a:off x="99392" y="1789043"/>
          <a:ext cx="5814391" cy="0"/>
        </a:xfrm>
        <a:prstGeom prst="line">
          <a:avLst/>
        </a:prstGeom>
        <a:ln w="19050">
          <a:solidFill>
            <a:srgbClr val="333F4F"/>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99391</xdr:colOff>
      <xdr:row>17</xdr:row>
      <xdr:rowOff>0</xdr:rowOff>
    </xdr:from>
    <xdr:to>
      <xdr:col>3</xdr:col>
      <xdr:colOff>1209260</xdr:colOff>
      <xdr:row>17</xdr:row>
      <xdr:rowOff>0</xdr:rowOff>
    </xdr:to>
    <xdr:cxnSp macro="">
      <xdr:nvCxnSpPr>
        <xdr:cNvPr id="20" name="Straight Connector 19">
          <a:extLst>
            <a:ext uri="{FF2B5EF4-FFF2-40B4-BE49-F238E27FC236}">
              <a16:creationId xmlns:a16="http://schemas.microsoft.com/office/drawing/2014/main" id="{49613829-37A6-4A5A-A34B-3D30007C6FD1}"/>
            </a:ext>
          </a:extLst>
        </xdr:cNvPr>
        <xdr:cNvCxnSpPr/>
      </xdr:nvCxnSpPr>
      <xdr:spPr>
        <a:xfrm>
          <a:off x="99391" y="3420717"/>
          <a:ext cx="5814391" cy="0"/>
        </a:xfrm>
        <a:prstGeom prst="line">
          <a:avLst/>
        </a:prstGeom>
        <a:ln w="19050">
          <a:solidFill>
            <a:srgbClr val="333F4F"/>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60463</xdr:colOff>
      <xdr:row>33</xdr:row>
      <xdr:rowOff>48454</xdr:rowOff>
    </xdr:from>
    <xdr:to>
      <xdr:col>3</xdr:col>
      <xdr:colOff>1253158</xdr:colOff>
      <xdr:row>33</xdr:row>
      <xdr:rowOff>56736</xdr:rowOff>
    </xdr:to>
    <xdr:cxnSp macro="">
      <xdr:nvCxnSpPr>
        <xdr:cNvPr id="21" name="Straight Connector 20">
          <a:extLst>
            <a:ext uri="{FF2B5EF4-FFF2-40B4-BE49-F238E27FC236}">
              <a16:creationId xmlns:a16="http://schemas.microsoft.com/office/drawing/2014/main" id="{B2F6A2C0-F15B-4FDF-B340-5FF023CA5F61}"/>
            </a:ext>
          </a:extLst>
        </xdr:cNvPr>
        <xdr:cNvCxnSpPr/>
      </xdr:nvCxnSpPr>
      <xdr:spPr>
        <a:xfrm flipV="1">
          <a:off x="60463" y="7192204"/>
          <a:ext cx="5898045" cy="8282"/>
        </a:xfrm>
        <a:prstGeom prst="line">
          <a:avLst/>
        </a:prstGeom>
        <a:ln w="19050">
          <a:solidFill>
            <a:srgbClr val="333F4F"/>
          </a:solidFill>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1508126</xdr:colOff>
      <xdr:row>1</xdr:row>
      <xdr:rowOff>125942</xdr:rowOff>
    </xdr:from>
    <xdr:to>
      <xdr:col>7</xdr:col>
      <xdr:colOff>1036109</xdr:colOff>
      <xdr:row>1</xdr:row>
      <xdr:rowOff>1321357</xdr:rowOff>
    </xdr:to>
    <xdr:pic>
      <xdr:nvPicPr>
        <xdr:cNvPr id="3" name="Picture 2">
          <a:extLst>
            <a:ext uri="{FF2B5EF4-FFF2-40B4-BE49-F238E27FC236}">
              <a16:creationId xmlns:a16="http://schemas.microsoft.com/office/drawing/2014/main" id="{F9505A11-0D48-C851-64F9-91E13D73FB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06876" y="125942"/>
          <a:ext cx="2978150" cy="11954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iamO'Donnell\AppData\Local\Microsoft\Windows\INetCache\Content.Outlook\GM4B1OQ8\Electrical%20Template%20-%20Draft%20-%20REV010.xlsx" TargetMode="External"/><Relationship Id="rId1" Type="http://schemas.openxmlformats.org/officeDocument/2006/relationships/externalLinkPath" Target="https://agsurveying.sharepoint.com/Users/LiamO'Donnell/AppData/Local/Microsoft/Windows/INetCache/Content.Outlook/GM4B1OQ8/Electrical%20Template%20-%20Draft%20-%20REV010.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Parke\AppData\Local\Microsoft\Windows\INetCache\Content.Outlook\MIF0VXSH\The%20Datum%20Group%20Electrical%20-%20TEMPLATE%20-%20Detailed%20breakdown%20Rev%205.xlsx" TargetMode="External"/><Relationship Id="rId1" Type="http://schemas.openxmlformats.org/officeDocument/2006/relationships/externalLinkPath" Target="https://agsurveying.sharepoint.com/Users/Parke/AppData/Local/Microsoft/Windows/INetCache/Content.Outlook/MIF0VXSH/The%20Datum%20Group%20Electrical%20-%20TEMPLATE%20-%20Detailed%20breakdown%20Rev%2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ecklist"/>
      <sheetName val="Summary"/>
      <sheetName val="Price Breakdown"/>
      <sheetName val="Item Budgets"/>
      <sheetName val="Containment"/>
      <sheetName val="Project Type"/>
      <sheetName val="Procore Measure"/>
      <sheetName val="Item Categories"/>
    </sheetNames>
    <sheetDataSet>
      <sheetData sheetId="0"/>
      <sheetData sheetId="1"/>
      <sheetData sheetId="2"/>
      <sheetData sheetId="3">
        <row r="4">
          <cell r="B4" t="str">
            <v>LIGHTING</v>
          </cell>
        </row>
        <row r="5">
          <cell r="B5" t="str">
            <v>Ceiling Mounted Luminaire</v>
          </cell>
        </row>
        <row r="6">
          <cell r="B6" t="str">
            <v>Double Sided Illuminated Emergency Exit Sign</v>
          </cell>
        </row>
        <row r="7">
          <cell r="B7" t="str">
            <v>Floor Mounted Luminaire - X12</v>
          </cell>
        </row>
        <row r="8">
          <cell r="B8" t="str">
            <v>Illuminated Emergency Exit Sign</v>
          </cell>
        </row>
        <row r="9">
          <cell r="B9" t="str">
            <v>Illuminated Emergency Exit Sign With Direction Arrow</v>
          </cell>
        </row>
        <row r="10">
          <cell r="B10" t="str">
            <v>Led Emergency Downlight</v>
          </cell>
        </row>
        <row r="11">
          <cell r="B11" t="str">
            <v>Led Strip Light</v>
          </cell>
        </row>
        <row r="12">
          <cell r="B12" t="str">
            <v>Lighting Wiring Point</v>
          </cell>
        </row>
        <row r="13">
          <cell r="B13" t="str">
            <v>Linear Luminaire</v>
          </cell>
        </row>
        <row r="14">
          <cell r="B14" t="str">
            <v>Photocell</v>
          </cell>
        </row>
        <row r="15">
          <cell r="B15" t="str">
            <v>PV Inverted, Relay &amp; DC/AC Isolator + Single Socket Outlet And RJ45 For Data For PV Panels</v>
          </cell>
        </row>
        <row r="16">
          <cell r="B16" t="str">
            <v>Recessed Modular Downlighter</v>
          </cell>
        </row>
        <row r="17">
          <cell r="B17" t="str">
            <v xml:space="preserve">Recessed Modular Uplighter </v>
          </cell>
        </row>
        <row r="18">
          <cell r="B18" t="str">
            <v>Wall Mounted Luminaire</v>
          </cell>
        </row>
        <row r="19">
          <cell r="B19" t="str">
            <v>Wall Mounted Luminaire - Emergency</v>
          </cell>
        </row>
        <row r="23">
          <cell r="B23" t="str">
            <v>EMERGENCY LIGHTING</v>
          </cell>
        </row>
        <row r="24">
          <cell r="B24" t="str">
            <v>EL Item 1</v>
          </cell>
        </row>
        <row r="25">
          <cell r="B25" t="str">
            <v>EL Item 2</v>
          </cell>
        </row>
        <row r="26">
          <cell r="B26" t="str">
            <v>EL Item 3</v>
          </cell>
        </row>
        <row r="27">
          <cell r="B27" t="str">
            <v>EL Item 4</v>
          </cell>
        </row>
        <row r="28">
          <cell r="B28" t="str">
            <v>EL Item 5</v>
          </cell>
        </row>
        <row r="29">
          <cell r="B29" t="str">
            <v>EL Item 6</v>
          </cell>
        </row>
        <row r="30">
          <cell r="B30" t="str">
            <v>EL Item 7</v>
          </cell>
        </row>
        <row r="31">
          <cell r="B31" t="str">
            <v>EL Item 8</v>
          </cell>
        </row>
        <row r="34">
          <cell r="B34" t="str">
            <v>LIGHTING CONTROL</v>
          </cell>
        </row>
        <row r="35">
          <cell r="B35" t="str">
            <v>LC Item 1</v>
          </cell>
        </row>
        <row r="36">
          <cell r="B36" t="str">
            <v>LC Item 2</v>
          </cell>
        </row>
        <row r="37">
          <cell r="B37" t="str">
            <v>LC Item 3</v>
          </cell>
        </row>
        <row r="38">
          <cell r="B38" t="str">
            <v>LC Item 4</v>
          </cell>
        </row>
        <row r="39">
          <cell r="B39" t="str">
            <v>LC Item 5</v>
          </cell>
        </row>
        <row r="40">
          <cell r="B40" t="str">
            <v>LC Item 6</v>
          </cell>
        </row>
        <row r="41">
          <cell r="B41" t="str">
            <v>LC Item 7</v>
          </cell>
        </row>
        <row r="42">
          <cell r="B42" t="str">
            <v>LC Item 8</v>
          </cell>
        </row>
        <row r="45">
          <cell r="B45" t="str">
            <v>SMALL POWER</v>
          </cell>
        </row>
        <row r="46">
          <cell r="B46" t="str">
            <v>1 Gang Switch</v>
          </cell>
        </row>
        <row r="47">
          <cell r="B47" t="str">
            <v>1 Gang Dimmer Switch</v>
          </cell>
        </row>
        <row r="48">
          <cell r="B48" t="str">
            <v>2 Gang Switch</v>
          </cell>
        </row>
        <row r="49">
          <cell r="B49" t="str">
            <v>20A Oven Control Unit</v>
          </cell>
        </row>
        <row r="50">
          <cell r="B50" t="str">
            <v>40A Cooker Control Unit</v>
          </cell>
        </row>
        <row r="51">
          <cell r="B51" t="str">
            <v>Automatic Transfer Switch</v>
          </cell>
        </row>
        <row r="52">
          <cell r="B52" t="str">
            <v>Booster Switch</v>
          </cell>
        </row>
        <row r="53">
          <cell r="B53" t="str">
            <v>Cooker Connection Point</v>
          </cell>
        </row>
        <row r="54">
          <cell r="B54" t="str">
            <v>Data Outlet</v>
          </cell>
        </row>
        <row r="55">
          <cell r="B55" t="str">
            <v>Door Bell</v>
          </cell>
        </row>
        <row r="56">
          <cell r="B56" t="str">
            <v>Doorbell Push</v>
          </cell>
        </row>
        <row r="57">
          <cell r="B57" t="str">
            <v>Double Pole Switch</v>
          </cell>
        </row>
        <row r="58">
          <cell r="B58" t="str">
            <v>Heat Alarm</v>
          </cell>
        </row>
        <row r="59">
          <cell r="B59" t="str">
            <v>Heat Detector</v>
          </cell>
        </row>
        <row r="60">
          <cell r="B60" t="str">
            <v>Intermediate Switch</v>
          </cell>
        </row>
        <row r="61">
          <cell r="B61" t="str">
            <v>Ip65 Switch With Neon</v>
          </cell>
        </row>
        <row r="62">
          <cell r="B62" t="str">
            <v>Junction Box</v>
          </cell>
        </row>
        <row r="63">
          <cell r="B63" t="str">
            <v>Multi Sensor Smoke/Heat Detector</v>
          </cell>
        </row>
        <row r="64">
          <cell r="B64" t="str">
            <v>Override Switches For External Lighting</v>
          </cell>
        </row>
        <row r="65">
          <cell r="B65" t="str">
            <v>Power Supply To The X11 Led Lights</v>
          </cell>
        </row>
        <row r="66">
          <cell r="B66" t="str">
            <v>Patch Panel</v>
          </cell>
        </row>
        <row r="67">
          <cell r="B67" t="str">
            <v>Presence Detector</v>
          </cell>
        </row>
        <row r="68">
          <cell r="B68" t="str">
            <v>Shaver Socket</v>
          </cell>
        </row>
        <row r="69">
          <cell r="B69" t="str">
            <v>Single Switch Socket Outlet</v>
          </cell>
        </row>
        <row r="70">
          <cell r="B70" t="str">
            <v>Smoke Alarm</v>
          </cell>
        </row>
        <row r="71">
          <cell r="B71" t="str">
            <v>Smoke Detector</v>
          </cell>
        </row>
        <row r="72">
          <cell r="B72" t="str">
            <v>Smoke/Heat/Co Alarm Remote Control Switch</v>
          </cell>
        </row>
        <row r="73">
          <cell r="B73" t="str">
            <v>Switch Fused Connection Unit - EF</v>
          </cell>
        </row>
        <row r="74">
          <cell r="B74" t="str">
            <v>Switch Fused Connection Unit - Heat Interface Unit</v>
          </cell>
        </row>
        <row r="75">
          <cell r="B75" t="str">
            <v>Switch Fused Connection Unit - IA</v>
          </cell>
        </row>
        <row r="76">
          <cell r="B76" t="str">
            <v>Switch Fused Connection Unit - Washing Machine</v>
          </cell>
        </row>
        <row r="77">
          <cell r="B77" t="str">
            <v>Switch Fused Connection Unit - Dish Washer</v>
          </cell>
        </row>
        <row r="78">
          <cell r="B78" t="str">
            <v>Switch Fused Connection Unit - Fridge Freezer</v>
          </cell>
        </row>
        <row r="79">
          <cell r="B79" t="str">
            <v>Switch Fused Connection Unit- HRV</v>
          </cell>
        </row>
        <row r="80">
          <cell r="B80" t="str">
            <v>Switched Fused Connection Unit</v>
          </cell>
        </row>
        <row r="81">
          <cell r="B81" t="str">
            <v>Switched Fused Connection Unit - ETR</v>
          </cell>
        </row>
        <row r="82">
          <cell r="B82" t="str">
            <v>Telephone Outlet</v>
          </cell>
        </row>
        <row r="83">
          <cell r="B83" t="str">
            <v>TP&amp;N Distribution Board</v>
          </cell>
        </row>
        <row r="84">
          <cell r="B84" t="str">
            <v>TP&amp;N Isolator</v>
          </cell>
        </row>
        <row r="85">
          <cell r="B85" t="str">
            <v>TP&amp;N Isolator - 20A</v>
          </cell>
        </row>
        <row r="86">
          <cell r="B86" t="str">
            <v>TP&amp;N Isolator - 300A</v>
          </cell>
        </row>
        <row r="87">
          <cell r="B87" t="str">
            <v>TP&amp;N Isolator - 32A</v>
          </cell>
        </row>
        <row r="88">
          <cell r="B88" t="str">
            <v>TP&amp;N Isolator - 63A</v>
          </cell>
        </row>
        <row r="89">
          <cell r="B89" t="str">
            <v>TV Socket</v>
          </cell>
        </row>
        <row r="90">
          <cell r="B90" t="str">
            <v>Twin RJ45 Data Outlet</v>
          </cell>
        </row>
        <row r="91">
          <cell r="B91" t="str">
            <v>Twin Switched Socket Outlet</v>
          </cell>
        </row>
        <row r="92">
          <cell r="B92" t="str">
            <v>Unswitched Fused Connection Unit</v>
          </cell>
        </row>
        <row r="95">
          <cell r="B95" t="str">
            <v>CONTAINMENT</v>
          </cell>
        </row>
        <row r="96">
          <cell r="B96" t="str">
            <v>100mm x 25mm tray</v>
          </cell>
        </row>
        <row r="97">
          <cell r="B97" t="str">
            <v>100mm x 50mm tray</v>
          </cell>
        </row>
        <row r="98">
          <cell r="B98" t="str">
            <v>150mm x 150mm Trunking</v>
          </cell>
        </row>
        <row r="99">
          <cell r="B99" t="str">
            <v>150mm x 25mm tray</v>
          </cell>
        </row>
        <row r="100">
          <cell r="B100" t="str">
            <v>225mm x 25mm tray</v>
          </cell>
        </row>
        <row r="101">
          <cell r="B101" t="str">
            <v>300mm x 25mm tray</v>
          </cell>
        </row>
        <row r="102">
          <cell r="B102" t="str">
            <v>450mm x 25mm tray</v>
          </cell>
        </row>
        <row r="103">
          <cell r="B103" t="str">
            <v>50mm x 25mm tray</v>
          </cell>
        </row>
        <row r="104">
          <cell r="B104" t="str">
            <v>50mm x 25mm tray</v>
          </cell>
        </row>
        <row r="105">
          <cell r="B105" t="str">
            <v>75mm x 25mm tray</v>
          </cell>
        </row>
        <row r="106">
          <cell r="B106" t="str">
            <v>C Item 11</v>
          </cell>
        </row>
        <row r="107">
          <cell r="B107" t="str">
            <v>C Item 12</v>
          </cell>
        </row>
        <row r="108">
          <cell r="B108" t="str">
            <v>C Item 13</v>
          </cell>
        </row>
        <row r="109">
          <cell r="B109" t="str">
            <v>C Item 14</v>
          </cell>
        </row>
        <row r="112">
          <cell r="B112" t="str">
            <v>FIRE ALARM</v>
          </cell>
        </row>
        <row r="113">
          <cell r="B113" t="str">
            <v>Fire Alarm Interface Unit</v>
          </cell>
        </row>
        <row r="114">
          <cell r="B114" t="str">
            <v>Fire Alarm Sounder</v>
          </cell>
        </row>
        <row r="115">
          <cell r="B115" t="str">
            <v>Smoke detectors</v>
          </cell>
        </row>
        <row r="116">
          <cell r="B116" t="str">
            <v>Heat detectors</v>
          </cell>
        </row>
        <row r="117">
          <cell r="B117" t="str">
            <v>CO2 detectors</v>
          </cell>
        </row>
        <row r="118">
          <cell r="B118" t="str">
            <v>FA Item 4</v>
          </cell>
        </row>
        <row r="119">
          <cell r="B119" t="str">
            <v>FA Item 5</v>
          </cell>
        </row>
        <row r="120">
          <cell r="B120" t="str">
            <v>FA Item 6</v>
          </cell>
        </row>
        <row r="123">
          <cell r="B123" t="str">
            <v>DISTRIBUTION</v>
          </cell>
        </row>
        <row r="124">
          <cell r="B124" t="str">
            <v>D Item 1</v>
          </cell>
        </row>
        <row r="125">
          <cell r="B125" t="str">
            <v>D Item 2</v>
          </cell>
        </row>
        <row r="126">
          <cell r="B126" t="str">
            <v>D Item 3</v>
          </cell>
        </row>
        <row r="127">
          <cell r="B127" t="str">
            <v>D Item 4</v>
          </cell>
        </row>
        <row r="128">
          <cell r="B128" t="str">
            <v>D Item 5</v>
          </cell>
        </row>
        <row r="129">
          <cell r="B129" t="str">
            <v>D Item 6</v>
          </cell>
        </row>
        <row r="130">
          <cell r="B130" t="str">
            <v>D Item 7</v>
          </cell>
        </row>
        <row r="131">
          <cell r="B131" t="str">
            <v>D Item 8</v>
          </cell>
        </row>
        <row r="134">
          <cell r="B134" t="str">
            <v>MECHANICAL SUPPLIES</v>
          </cell>
        </row>
        <row r="135">
          <cell r="B135" t="str">
            <v>MS Item 1</v>
          </cell>
        </row>
        <row r="136">
          <cell r="B136" t="str">
            <v>MS Item 2</v>
          </cell>
        </row>
        <row r="137">
          <cell r="B137" t="str">
            <v>MS Item 3</v>
          </cell>
        </row>
        <row r="138">
          <cell r="B138" t="str">
            <v>MS Item 4</v>
          </cell>
        </row>
        <row r="139">
          <cell r="B139" t="str">
            <v>MS Item 5</v>
          </cell>
        </row>
        <row r="140">
          <cell r="B140" t="str">
            <v>MS Item 6</v>
          </cell>
        </row>
        <row r="141">
          <cell r="B141" t="str">
            <v>MS Item 7</v>
          </cell>
        </row>
        <row r="142">
          <cell r="B142" t="str">
            <v>MS Item 8</v>
          </cell>
        </row>
        <row r="145">
          <cell r="B145" t="str">
            <v>VENTILATION</v>
          </cell>
        </row>
        <row r="146">
          <cell r="B146" t="str">
            <v>V Item 1</v>
          </cell>
        </row>
        <row r="147">
          <cell r="B147" t="str">
            <v>V Item 2</v>
          </cell>
        </row>
        <row r="148">
          <cell r="B148" t="str">
            <v>V Item 3</v>
          </cell>
        </row>
        <row r="149">
          <cell r="B149" t="str">
            <v>V Item 4</v>
          </cell>
        </row>
        <row r="150">
          <cell r="B150" t="str">
            <v>V Item 5</v>
          </cell>
        </row>
        <row r="151">
          <cell r="B151" t="str">
            <v>V Item 6</v>
          </cell>
        </row>
        <row r="152">
          <cell r="B152" t="str">
            <v>V Item 7</v>
          </cell>
        </row>
        <row r="153">
          <cell r="B153" t="str">
            <v>V Item 8</v>
          </cell>
        </row>
        <row r="156">
          <cell r="B156" t="str">
            <v>ACCESS CONTROL &amp; SECURITY</v>
          </cell>
        </row>
        <row r="157">
          <cell r="B157" t="str">
            <v>AC Item 1</v>
          </cell>
        </row>
        <row r="158">
          <cell r="B158" t="str">
            <v>AC Item 2</v>
          </cell>
        </row>
        <row r="159">
          <cell r="B159" t="str">
            <v>AC Item 3</v>
          </cell>
        </row>
        <row r="160">
          <cell r="B160" t="str">
            <v>AC Item 4</v>
          </cell>
        </row>
        <row r="161">
          <cell r="B161" t="str">
            <v>AC Item 5</v>
          </cell>
        </row>
        <row r="162">
          <cell r="B162" t="str">
            <v>AC Item 6</v>
          </cell>
        </row>
        <row r="163">
          <cell r="B163" t="str">
            <v>AC Item 7</v>
          </cell>
        </row>
        <row r="164">
          <cell r="B164" t="str">
            <v>AC Item 8</v>
          </cell>
        </row>
        <row r="167">
          <cell r="B167" t="str">
            <v>AUDIO VISUAL / TV / SATELITE</v>
          </cell>
        </row>
        <row r="168">
          <cell r="B168" t="str">
            <v>AV ITEM 1</v>
          </cell>
        </row>
        <row r="169">
          <cell r="B169" t="str">
            <v>AV ITEM 2</v>
          </cell>
        </row>
        <row r="170">
          <cell r="B170" t="str">
            <v>AV ITEM 3</v>
          </cell>
        </row>
        <row r="171">
          <cell r="B171" t="str">
            <v>AV ITEM 4</v>
          </cell>
        </row>
        <row r="172">
          <cell r="B172" t="str">
            <v>AV ITEM 5</v>
          </cell>
        </row>
        <row r="173">
          <cell r="B173" t="str">
            <v>AV ITEM 6</v>
          </cell>
        </row>
        <row r="174">
          <cell r="B174" t="str">
            <v>AV ITEM 7</v>
          </cell>
        </row>
        <row r="175">
          <cell r="B175" t="str">
            <v>AV ITEM 8</v>
          </cell>
        </row>
        <row r="178">
          <cell r="B178" t="str">
            <v>HEATING INTERFACE / CONTROLS</v>
          </cell>
        </row>
        <row r="179">
          <cell r="B179" t="str">
            <v>HI Item 1</v>
          </cell>
        </row>
        <row r="180">
          <cell r="B180" t="str">
            <v>HI Item 2</v>
          </cell>
        </row>
        <row r="181">
          <cell r="B181" t="str">
            <v>HI Item 3</v>
          </cell>
        </row>
        <row r="182">
          <cell r="B182" t="str">
            <v>HI Item 4</v>
          </cell>
        </row>
        <row r="183">
          <cell r="B183" t="str">
            <v>HI Item 5</v>
          </cell>
        </row>
        <row r="184">
          <cell r="B184" t="str">
            <v>HI Item 6</v>
          </cell>
        </row>
        <row r="185">
          <cell r="B185" t="str">
            <v>HI Item 7</v>
          </cell>
        </row>
        <row r="186">
          <cell r="B186" t="str">
            <v>HI Item 8</v>
          </cell>
        </row>
        <row r="189">
          <cell r="B189" t="str">
            <v>MISCELLANEOUS</v>
          </cell>
        </row>
        <row r="190">
          <cell r="B190" t="str">
            <v>Door Entry Handset</v>
          </cell>
        </row>
        <row r="191">
          <cell r="B191" t="str">
            <v>Electric Meter</v>
          </cell>
        </row>
        <row r="192">
          <cell r="B192" t="str">
            <v>Electric Towel Rail</v>
          </cell>
        </row>
        <row r="193">
          <cell r="B193" t="str">
            <v>Flex Connection Outlet</v>
          </cell>
        </row>
        <row r="194">
          <cell r="B194" t="str">
            <v>Ryefield Board</v>
          </cell>
        </row>
        <row r="195">
          <cell r="B195" t="str">
            <v>SP&amp;N Distribution Board</v>
          </cell>
        </row>
        <row r="196">
          <cell r="B196" t="str">
            <v>SP&amp;N Isolator</v>
          </cell>
        </row>
        <row r="197">
          <cell r="B197" t="str">
            <v>Earthing &amp; bonding</v>
          </cell>
        </row>
        <row r="198">
          <cell r="B198" t="str">
            <v>Surge protection</v>
          </cell>
        </row>
        <row r="199">
          <cell r="B199" t="str">
            <v>M Item 3</v>
          </cell>
        </row>
        <row r="200">
          <cell r="B200" t="str">
            <v>M Item 4</v>
          </cell>
        </row>
        <row r="201">
          <cell r="B201" t="str">
            <v>M Item 5</v>
          </cell>
        </row>
        <row r="202">
          <cell r="B202" t="str">
            <v>M Item 6</v>
          </cell>
        </row>
        <row r="203">
          <cell r="B203" t="str">
            <v>M Item 7</v>
          </cell>
        </row>
        <row r="204">
          <cell r="B204" t="str">
            <v>M Item 8</v>
          </cell>
        </row>
        <row r="207">
          <cell r="B207" t="str">
            <v>PRELIMS</v>
          </cell>
        </row>
        <row r="208">
          <cell r="B208" t="str">
            <v xml:space="preserve">O&amp;M's </v>
          </cell>
        </row>
        <row r="209">
          <cell r="B209" t="str">
            <v xml:space="preserve">Testing and Commissioning </v>
          </cell>
        </row>
        <row r="210">
          <cell r="B210" t="str">
            <v>Storage of tools and materials</v>
          </cell>
        </row>
        <row r="211">
          <cell r="B211" t="str">
            <v>Project Management</v>
          </cell>
        </row>
        <row r="212">
          <cell r="B212" t="str">
            <v>Access Towers</v>
          </cell>
        </row>
        <row r="213">
          <cell r="B213" t="str">
            <v>P Item 2</v>
          </cell>
        </row>
        <row r="214">
          <cell r="B214" t="str">
            <v>P Item 3</v>
          </cell>
        </row>
        <row r="217">
          <cell r="B217" t="str">
            <v>SITE TEMPORARIES</v>
          </cell>
        </row>
        <row r="218">
          <cell r="B218" t="str">
            <v>ST Item 1</v>
          </cell>
        </row>
        <row r="219">
          <cell r="B219" t="str">
            <v>ST Item 2</v>
          </cell>
        </row>
        <row r="220">
          <cell r="B220" t="str">
            <v>ST Item 3</v>
          </cell>
        </row>
        <row r="221">
          <cell r="B221" t="str">
            <v>ST Item 4</v>
          </cell>
        </row>
        <row r="222">
          <cell r="B222" t="str">
            <v>ST Item 5</v>
          </cell>
        </row>
        <row r="223">
          <cell r="B223" t="str">
            <v>ST Item 6</v>
          </cell>
        </row>
        <row r="224">
          <cell r="B224" t="str">
            <v>ST Item 7</v>
          </cell>
        </row>
        <row r="225">
          <cell r="B225" t="str">
            <v>ST Item 8</v>
          </cell>
        </row>
        <row r="228">
          <cell r="B228" t="str">
            <v>END</v>
          </cell>
        </row>
      </sheetData>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ing"/>
      <sheetName val="Breakdown"/>
      <sheetName val="Proc Sheet"/>
      <sheetName val="Containment"/>
      <sheetName val="Containment List"/>
      <sheetName val="Lighting"/>
      <sheetName val="Lighting List"/>
      <sheetName val="Sockets"/>
      <sheetName val="Sockets List"/>
      <sheetName val="Switches"/>
      <sheetName val="Switches List"/>
      <sheetName val="Consumer_Unit"/>
      <sheetName val="Consumer Unit List"/>
      <sheetName val="Misc"/>
      <sheetName val="Misc List"/>
      <sheetName val="Other"/>
      <sheetName val="Other List"/>
      <sheetName val="Type List"/>
    </sheetNames>
    <sheetDataSet>
      <sheetData sheetId="0" refreshError="1"/>
      <sheetData sheetId="1">
        <row r="10">
          <cell r="E10">
            <v>1</v>
          </cell>
        </row>
      </sheetData>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2">
          <cell r="A2" t="str">
            <v>Containment</v>
          </cell>
        </row>
        <row r="3">
          <cell r="A3" t="str">
            <v>Lighting</v>
          </cell>
        </row>
        <row r="4">
          <cell r="A4" t="str">
            <v>Sockets</v>
          </cell>
        </row>
        <row r="5">
          <cell r="A5" t="str">
            <v>Switches</v>
          </cell>
        </row>
        <row r="6">
          <cell r="A6" t="str">
            <v>Consumer Unit</v>
          </cell>
        </row>
        <row r="7">
          <cell r="A7" t="str">
            <v>Misc</v>
          </cell>
        </row>
        <row r="8">
          <cell r="A8" t="str">
            <v>Other</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8E9BD-4B81-4FEE-946D-15AAB72CF8BF}">
  <dimension ref="A1:D31"/>
  <sheetViews>
    <sheetView showGridLines="0" tabSelected="1" view="pageLayout" zoomScale="85" zoomScaleNormal="100" zoomScalePageLayoutView="85" workbookViewId="0">
      <selection activeCell="C24" sqref="C24"/>
    </sheetView>
  </sheetViews>
  <sheetFormatPr defaultRowHeight="15"/>
  <cols>
    <col min="1" max="1" width="16" customWidth="1"/>
    <col min="2" max="2" width="31" customWidth="1"/>
    <col min="3" max="9" width="18.7109375" customWidth="1"/>
  </cols>
  <sheetData>
    <row r="1" spans="1:4">
      <c r="A1" t="s">
        <v>35</v>
      </c>
    </row>
    <row r="7" spans="1:4">
      <c r="A7" s="62"/>
    </row>
    <row r="12" spans="1:4">
      <c r="A12" s="75" t="s">
        <v>41</v>
      </c>
      <c r="B12" s="77" t="str">
        <f>'Quotation '!C3</f>
        <v>Pride Developments</v>
      </c>
      <c r="C12" s="78"/>
      <c r="D12" s="78"/>
    </row>
    <row r="13" spans="1:4">
      <c r="A13" s="75" t="s">
        <v>42</v>
      </c>
      <c r="B13" s="78" t="str">
        <f>'Quotation '!C4</f>
        <v>Library and Brandon Youth</v>
      </c>
      <c r="C13" s="78"/>
      <c r="D13" s="78"/>
    </row>
    <row r="14" spans="1:4" ht="29.25" customHeight="1">
      <c r="A14" s="76" t="s">
        <v>43</v>
      </c>
      <c r="B14" s="85" t="str">
        <f>'Quotation '!C5</f>
        <v>Library and Brandon youth centre, 19 Maddock Way Cooks Road, SE17 3NH</v>
      </c>
      <c r="C14" s="85"/>
      <c r="D14" s="85"/>
    </row>
    <row r="15" spans="1:4">
      <c r="A15" s="75" t="s">
        <v>44</v>
      </c>
      <c r="B15" s="79">
        <f>'Quotation '!C6</f>
        <v>46085</v>
      </c>
      <c r="C15" s="78"/>
      <c r="D15" s="78"/>
    </row>
    <row r="16" spans="1:4">
      <c r="A16" s="75" t="s">
        <v>45</v>
      </c>
      <c r="B16" s="75" t="s">
        <v>56</v>
      </c>
      <c r="C16" s="75"/>
      <c r="D16" s="75"/>
    </row>
    <row r="17" spans="1:4">
      <c r="A17" s="61"/>
    </row>
    <row r="18" spans="1:4" ht="15.75">
      <c r="A18" s="86"/>
      <c r="B18" s="86"/>
      <c r="C18" s="86"/>
      <c r="D18" s="86"/>
    </row>
    <row r="19" spans="1:4" ht="15.75">
      <c r="A19" s="86" t="s">
        <v>57</v>
      </c>
      <c r="B19" s="86"/>
      <c r="C19" s="86"/>
      <c r="D19" s="86"/>
    </row>
    <row r="20" spans="1:4">
      <c r="A20" s="61"/>
    </row>
    <row r="21" spans="1:4" ht="21">
      <c r="A21" s="57"/>
      <c r="B21" s="72" t="s">
        <v>52</v>
      </c>
      <c r="C21" s="70">
        <f>'Quotation '!H19</f>
        <v>20400</v>
      </c>
    </row>
    <row r="22" spans="1:4" ht="15.75">
      <c r="A22" s="58"/>
      <c r="B22" s="73" t="s">
        <v>36</v>
      </c>
    </row>
    <row r="23" spans="1:4" ht="18.75">
      <c r="A23" s="59"/>
      <c r="B23" s="72" t="s">
        <v>53</v>
      </c>
      <c r="C23" s="71">
        <f>SUM(C21*0.2)</f>
        <v>4080</v>
      </c>
    </row>
    <row r="24" spans="1:4" ht="18.75">
      <c r="A24" s="59"/>
      <c r="B24" s="72" t="s">
        <v>54</v>
      </c>
      <c r="C24" s="70">
        <f>SUM(C21+C23)</f>
        <v>24480</v>
      </c>
    </row>
    <row r="27" spans="1:4">
      <c r="A27" s="60" t="s">
        <v>37</v>
      </c>
    </row>
    <row r="28" spans="1:4" ht="52.5" customHeight="1">
      <c r="A28" s="87" t="s">
        <v>55</v>
      </c>
      <c r="B28" s="87"/>
      <c r="C28" s="87"/>
      <c r="D28" s="87"/>
    </row>
    <row r="29" spans="1:4">
      <c r="A29" s="80" t="s">
        <v>58</v>
      </c>
    </row>
    <row r="30" spans="1:4">
      <c r="A30" s="74" t="s">
        <v>38</v>
      </c>
    </row>
    <row r="31" spans="1:4">
      <c r="A31" s="74" t="s">
        <v>39</v>
      </c>
    </row>
  </sheetData>
  <mergeCells count="4">
    <mergeCell ref="A18:D18"/>
    <mergeCell ref="B14:D14"/>
    <mergeCell ref="A28:D28"/>
    <mergeCell ref="A19:D19"/>
  </mergeCells>
  <pageMargins left="0.9375" right="0.7" top="0.75" bottom="0.75" header="0.3" footer="0.3"/>
  <pageSetup paperSize="9" orientation="portrait" horizontalDpi="4294967293" verticalDpi="0" r:id="rId1"/>
  <headerFooter>
    <oddHeader>&amp;L&amp;G</oddHeader>
    <oddFooter>&amp;L&amp;G</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93E11-F4C6-4586-8D17-D183F1A32DCC}">
  <sheetPr codeName="Sheet14">
    <pageSetUpPr fitToPage="1"/>
  </sheetPr>
  <dimension ref="B1:U35"/>
  <sheetViews>
    <sheetView zoomScale="85" zoomScaleNormal="85" workbookViewId="0">
      <selection activeCell="G40" sqref="G40"/>
    </sheetView>
  </sheetViews>
  <sheetFormatPr defaultColWidth="8.85546875" defaultRowHeight="15"/>
  <cols>
    <col min="2" max="2" width="9.7109375" style="1" customWidth="1"/>
    <col min="3" max="3" width="30.85546875" style="2" customWidth="1"/>
    <col min="4" max="4" width="23.5703125" style="2" customWidth="1"/>
    <col min="5" max="5" width="10.85546875" style="2" customWidth="1"/>
    <col min="6" max="6" width="6.5703125" style="2" customWidth="1"/>
    <col min="7" max="7" width="10.85546875" style="2" customWidth="1"/>
    <col min="8" max="8" width="17.7109375" style="1" customWidth="1"/>
    <col min="9" max="9" width="38" bestFit="1" customWidth="1"/>
    <col min="10" max="10" width="26.85546875" customWidth="1"/>
    <col min="11" max="11" width="26.140625" customWidth="1"/>
    <col min="12" max="12" width="11.85546875" customWidth="1"/>
    <col min="13" max="13" width="17.85546875" customWidth="1"/>
    <col min="14" max="14" width="8.85546875" customWidth="1"/>
  </cols>
  <sheetData>
    <row r="1" spans="2:21" ht="15.75" thickBot="1"/>
    <row r="2" spans="2:21" s="2" customFormat="1" ht="118.5" customHeight="1">
      <c r="B2" s="88" t="s">
        <v>5</v>
      </c>
      <c r="C2" s="88"/>
      <c r="D2" s="88"/>
      <c r="E2" s="88"/>
      <c r="F2" s="11"/>
      <c r="G2" s="11"/>
      <c r="H2" s="12"/>
    </row>
    <row r="3" spans="2:21" ht="15.75">
      <c r="B3" s="63" t="s">
        <v>46</v>
      </c>
      <c r="C3" s="64" t="s">
        <v>51</v>
      </c>
      <c r="D3" s="64"/>
      <c r="E3" s="64"/>
      <c r="F3" s="64"/>
      <c r="G3" s="64"/>
      <c r="H3" s="65"/>
      <c r="J3" s="2" t="s">
        <v>32</v>
      </c>
      <c r="K3" s="2" t="s">
        <v>33</v>
      </c>
    </row>
    <row r="4" spans="2:21" ht="15.75">
      <c r="B4" s="66" t="s">
        <v>47</v>
      </c>
      <c r="C4" s="67" t="s">
        <v>48</v>
      </c>
      <c r="D4" s="67"/>
      <c r="E4" s="67"/>
      <c r="F4" s="67"/>
      <c r="G4" s="67"/>
      <c r="H4" s="68"/>
      <c r="I4" s="17"/>
    </row>
    <row r="5" spans="2:21" ht="15.75">
      <c r="B5" s="66" t="s">
        <v>18</v>
      </c>
      <c r="C5" s="67" t="s">
        <v>49</v>
      </c>
      <c r="D5" s="67"/>
      <c r="E5" s="67"/>
      <c r="F5" s="67"/>
      <c r="G5" s="67"/>
      <c r="H5" s="68"/>
    </row>
    <row r="6" spans="2:21" ht="15.75">
      <c r="B6" s="66" t="s">
        <v>50</v>
      </c>
      <c r="C6" s="69">
        <v>46085</v>
      </c>
      <c r="D6" s="67"/>
      <c r="E6" s="67"/>
      <c r="F6" s="67"/>
      <c r="G6" s="67"/>
      <c r="H6" s="68"/>
      <c r="O6" s="3"/>
      <c r="P6" s="3"/>
      <c r="Q6" s="3"/>
      <c r="R6" s="3"/>
      <c r="S6" s="3"/>
      <c r="T6" s="3"/>
      <c r="U6" s="3"/>
    </row>
    <row r="7" spans="2:21" ht="15.75" thickBot="1">
      <c r="B7" s="54"/>
      <c r="C7" s="55"/>
      <c r="D7" s="55"/>
      <c r="E7" s="55"/>
      <c r="F7" s="55"/>
      <c r="G7" s="55"/>
      <c r="H7" s="56"/>
      <c r="O7" s="3"/>
      <c r="P7" s="3"/>
      <c r="Q7" s="3"/>
      <c r="R7" s="3"/>
      <c r="S7" s="3"/>
      <c r="T7" s="3"/>
      <c r="U7" s="3"/>
    </row>
    <row r="8" spans="2:21" s="3" customFormat="1" ht="13.5" thickBot="1">
      <c r="B8" s="50"/>
      <c r="C8" s="51" t="s">
        <v>2</v>
      </c>
      <c r="D8" s="52" t="s">
        <v>26</v>
      </c>
      <c r="E8" s="52" t="s">
        <v>1</v>
      </c>
      <c r="F8" s="52" t="s">
        <v>0</v>
      </c>
      <c r="G8" s="52" t="s">
        <v>28</v>
      </c>
      <c r="H8" s="53" t="s">
        <v>4</v>
      </c>
    </row>
    <row r="9" spans="2:21" s="3" customFormat="1" ht="27.75" customHeight="1">
      <c r="B9" s="4"/>
      <c r="C9" s="13" t="s">
        <v>12</v>
      </c>
      <c r="D9" s="14"/>
      <c r="E9" s="10"/>
      <c r="F9" s="15"/>
      <c r="G9" s="5"/>
      <c r="H9" s="6"/>
      <c r="I9" s="3" t="s">
        <v>6</v>
      </c>
      <c r="J9" s="3" t="s">
        <v>7</v>
      </c>
      <c r="K9" s="3" t="s">
        <v>8</v>
      </c>
      <c r="L9" s="3" t="s">
        <v>11</v>
      </c>
      <c r="M9" s="3" t="s">
        <v>29</v>
      </c>
      <c r="N9" t="s">
        <v>31</v>
      </c>
    </row>
    <row r="10" spans="2:21" s="3" customFormat="1">
      <c r="B10" s="4" t="s">
        <v>23</v>
      </c>
      <c r="C10" s="19" t="s">
        <v>13</v>
      </c>
      <c r="D10" s="16" t="s">
        <v>30</v>
      </c>
      <c r="E10" s="20">
        <v>1</v>
      </c>
      <c r="F10" s="21" t="s">
        <v>3</v>
      </c>
      <c r="G10" s="7">
        <f>I10+J10+K10+IF(B10="UPD",950,IF(B10="SAD",1150,IF(B10="DAD",1950,IF(B10="ELAW",1000,IF(B10="LAW",600,IF(B10="MAW",500,IF(B10="SAW",400,IF(B10="LPVC",400,IF(B10="MPVC",350,IF(B10="SPVC",300,IF(B10="SADLAW",1950,IF(B10="SADMAW",1850,IF(B10="SADSAW",1650,0)))))))))))))</f>
        <v>500</v>
      </c>
      <c r="H10" s="6">
        <f t="shared" ref="H10" si="0">IF(AND(E10&lt;&gt;"", G10&lt;&gt;""), E10*G10, "")</f>
        <v>500</v>
      </c>
      <c r="I10" s="18">
        <v>100</v>
      </c>
      <c r="L10" s="3">
        <f>SUM(N10*850)</f>
        <v>85000</v>
      </c>
      <c r="M10" s="3">
        <f>SUM(N10*150)</f>
        <v>15000</v>
      </c>
      <c r="N10">
        <f>(TRIM(LEFT(D10,FIND("x",D10)-1)) * TRIM(MID(D10,FIND("x",D10)+1,LEN(D10)))) / 1000000</f>
        <v>100</v>
      </c>
      <c r="O10" s="3" cm="1">
        <f t="array" ref="O10">SUM(E10*I10:J10)</f>
        <v>100</v>
      </c>
    </row>
    <row r="11" spans="2:21" s="3" customFormat="1">
      <c r="B11" s="4" t="s">
        <v>24</v>
      </c>
      <c r="C11" s="19" t="s">
        <v>13</v>
      </c>
      <c r="D11" s="16" t="s">
        <v>19</v>
      </c>
      <c r="E11" s="20">
        <v>1</v>
      </c>
      <c r="F11" s="21" t="s">
        <v>3</v>
      </c>
      <c r="G11" s="7">
        <f t="shared" ref="G11:G15" si="1">I11+J11+K11+IF(B11="UPD",950,IF(B11="SAD",1150,IF(B11="DAD",1950,IF(B11="ELAW",1000,IF(B11="LAW",600,IF(B11="MAW",500,IF(B11="SAW",400,IF(B11="LPVC",400,IF(B11="MPVC",350,IF(B11="SPVC",300,IF(B11="SADLAW",1950,IF(B11="SADMAW",1850,IF(B11="SADSAW",1650,0)))))))))))))</f>
        <v>700</v>
      </c>
      <c r="H11" s="6">
        <f t="shared" ref="H11:H15" si="2">IF(AND(E11&lt;&gt;"", G11&lt;&gt;""), E11*G11, "")</f>
        <v>700</v>
      </c>
      <c r="I11" s="18">
        <v>200</v>
      </c>
      <c r="L11" s="3">
        <f t="shared" ref="L11:L14" si="3">SUM(N11*850)</f>
        <v>3400</v>
      </c>
      <c r="M11" s="3">
        <f t="shared" ref="M11:M14" si="4">SUM(N11*150)</f>
        <v>600</v>
      </c>
      <c r="N11">
        <f t="shared" ref="N11:N14" si="5">(TRIM(LEFT(D11,FIND("x",D11)-1)) * TRIM(MID(D11,FIND("x",D11)+1,LEN(D11)))) / 1000000</f>
        <v>4</v>
      </c>
    </row>
    <row r="12" spans="2:21" s="3" customFormat="1">
      <c r="B12" s="4" t="s">
        <v>17</v>
      </c>
      <c r="C12" s="19" t="s">
        <v>14</v>
      </c>
      <c r="D12" s="16" t="s">
        <v>20</v>
      </c>
      <c r="E12" s="20">
        <v>1</v>
      </c>
      <c r="F12" s="21" t="s">
        <v>3</v>
      </c>
      <c r="G12" s="7">
        <f t="shared" si="1"/>
        <v>2250</v>
      </c>
      <c r="H12" s="6">
        <f t="shared" si="2"/>
        <v>2250</v>
      </c>
      <c r="I12" s="18">
        <v>300</v>
      </c>
      <c r="L12" s="3">
        <f t="shared" si="3"/>
        <v>7650</v>
      </c>
      <c r="M12" s="3">
        <f t="shared" si="4"/>
        <v>1350</v>
      </c>
      <c r="N12">
        <f t="shared" si="5"/>
        <v>9</v>
      </c>
    </row>
    <row r="13" spans="2:21" s="3" customFormat="1">
      <c r="B13" s="4"/>
      <c r="C13" s="19" t="s">
        <v>15</v>
      </c>
      <c r="D13" s="16" t="s">
        <v>21</v>
      </c>
      <c r="E13" s="20"/>
      <c r="F13" s="21" t="s">
        <v>3</v>
      </c>
      <c r="G13" s="7">
        <f t="shared" si="1"/>
        <v>0</v>
      </c>
      <c r="H13" s="6" t="str">
        <f t="shared" si="2"/>
        <v/>
      </c>
      <c r="I13" s="18"/>
      <c r="L13" s="3">
        <f t="shared" si="3"/>
        <v>13600</v>
      </c>
      <c r="M13" s="3">
        <f t="shared" si="4"/>
        <v>2400</v>
      </c>
      <c r="N13">
        <f t="shared" si="5"/>
        <v>16</v>
      </c>
    </row>
    <row r="14" spans="2:21" s="3" customFormat="1">
      <c r="B14" s="4"/>
      <c r="C14" s="19" t="s">
        <v>16</v>
      </c>
      <c r="D14" s="16" t="s">
        <v>22</v>
      </c>
      <c r="E14" s="20"/>
      <c r="F14" s="21" t="s">
        <v>3</v>
      </c>
      <c r="G14" s="7">
        <f t="shared" si="1"/>
        <v>0</v>
      </c>
      <c r="H14" s="6" t="str">
        <f t="shared" si="2"/>
        <v/>
      </c>
      <c r="I14" s="18"/>
      <c r="L14" s="3">
        <f t="shared" si="3"/>
        <v>15300</v>
      </c>
      <c r="M14" s="3">
        <f t="shared" si="4"/>
        <v>2700</v>
      </c>
      <c r="N14">
        <f t="shared" si="5"/>
        <v>18</v>
      </c>
    </row>
    <row r="15" spans="2:21" s="3" customFormat="1">
      <c r="B15" s="4"/>
      <c r="C15" s="19"/>
      <c r="D15" s="16"/>
      <c r="E15" s="9"/>
      <c r="F15" s="8"/>
      <c r="G15" s="7">
        <f t="shared" si="1"/>
        <v>0</v>
      </c>
      <c r="H15" s="6" t="str">
        <f t="shared" si="2"/>
        <v/>
      </c>
      <c r="N15"/>
    </row>
    <row r="16" spans="2:21" s="3" customFormat="1" ht="15.75" thickBot="1">
      <c r="B16" s="4"/>
      <c r="C16" s="19"/>
      <c r="D16" s="16"/>
      <c r="E16" s="9"/>
      <c r="F16" s="8"/>
      <c r="G16" s="7"/>
      <c r="H16" s="6"/>
      <c r="N16"/>
    </row>
    <row r="17" spans="2:12" s="3" customFormat="1" ht="15" customHeight="1">
      <c r="B17" s="23"/>
      <c r="C17" s="24" t="s">
        <v>25</v>
      </c>
      <c r="D17" s="25"/>
      <c r="E17" s="25"/>
      <c r="F17" s="25"/>
      <c r="G17" s="25"/>
      <c r="H17" s="26" cm="1">
        <f t="array" ref="H17">SUMPRODUCT(E10:E317*IF(M10:M317="",140,M10:M317))</f>
        <v>16950</v>
      </c>
    </row>
    <row r="18" spans="2:12" s="3" customFormat="1" ht="15" customHeight="1">
      <c r="B18" s="27"/>
      <c r="C18" s="28"/>
      <c r="D18" s="29"/>
      <c r="E18" s="29"/>
      <c r="F18" s="29"/>
      <c r="G18" s="29"/>
      <c r="H18" s="30"/>
      <c r="J18" s="3" t="s">
        <v>34</v>
      </c>
    </row>
    <row r="19" spans="2:12" s="3" customFormat="1" ht="12.75">
      <c r="B19" s="31"/>
      <c r="C19" s="32" t="s">
        <v>79</v>
      </c>
      <c r="D19" s="32"/>
      <c r="E19" s="29"/>
      <c r="F19" s="29"/>
      <c r="G19" s="29"/>
      <c r="H19" s="33">
        <f>SUM(H10:H17)</f>
        <v>20400</v>
      </c>
    </row>
    <row r="20" spans="2:12" s="3" customFormat="1" ht="13.5" thickBot="1">
      <c r="B20" s="34"/>
      <c r="C20" s="35"/>
      <c r="D20" s="35"/>
      <c r="E20" s="36"/>
      <c r="F20" s="36"/>
      <c r="G20" s="36"/>
      <c r="H20" s="37"/>
    </row>
    <row r="21" spans="2:12" s="3" customFormat="1" ht="13.5" thickBot="1"/>
    <row r="22" spans="2:12" s="3" customFormat="1" ht="12.75">
      <c r="B22" s="38"/>
      <c r="C22" s="39"/>
      <c r="D22" s="39"/>
      <c r="E22" s="40"/>
      <c r="F22" s="40"/>
      <c r="G22" s="40"/>
      <c r="H22" s="41"/>
    </row>
    <row r="23" spans="2:12" s="3" customFormat="1" ht="12.75">
      <c r="B23" s="42"/>
      <c r="C23" s="32" t="s">
        <v>27</v>
      </c>
      <c r="D23" s="32"/>
      <c r="E23" s="29"/>
      <c r="F23" s="29"/>
      <c r="G23" s="29"/>
      <c r="H23" s="43"/>
    </row>
    <row r="24" spans="2:12" s="3" customFormat="1" ht="14.25">
      <c r="B24" s="42"/>
      <c r="C24" s="44" t="s">
        <v>9</v>
      </c>
      <c r="D24" s="45"/>
      <c r="E24" s="29"/>
      <c r="F24" s="29"/>
      <c r="G24" s="29"/>
      <c r="H24" s="46" cm="1">
        <f t="array" ref="H24">SUMPRODUCT(
  IFERROR(
    ((VALUE(TRIM(LEFT($D$10:$D$17,FIND("x",$D$10:$D$17)-1)))/1000) *
     (VALUE(TRIM(MID($D$10:$D$17,FIND("x",$D$10:$D$17)+1,LEN($D$10:$D$17))))/1000) *
     25) * $E$10:$E$17,
    0
  )
)</f>
        <v>2825</v>
      </c>
      <c r="L24" s="3" t="s">
        <v>35</v>
      </c>
    </row>
    <row r="25" spans="2:12" s="3" customFormat="1" ht="14.25">
      <c r="B25" s="42"/>
      <c r="C25" s="44" t="s">
        <v>10</v>
      </c>
      <c r="D25" s="45"/>
      <c r="E25" s="29"/>
      <c r="F25" s="29"/>
      <c r="G25" s="29"/>
      <c r="H25" s="46" cm="1">
        <f t="array" ref="H25">SUMPRODUCT(
IFERROR(
(
(
(VALUE(TRIM(LEFT($D$10:$D$904,FIND("x",$D$10:$D$904)-1))))+
(VALUE(TRIM(MID($D$10:$D$904,FIND("x",$D$10:$D$904)+1,LEN($D$10:$D$904)))))
)*2/1000*5
)*$E$10:$E$904,
0
)
)</f>
        <v>300</v>
      </c>
    </row>
    <row r="26" spans="2:12" ht="15.75" thickBot="1">
      <c r="B26" s="47"/>
      <c r="C26" s="48"/>
      <c r="D26" s="48"/>
      <c r="E26" s="48"/>
      <c r="F26" s="48"/>
      <c r="G26" s="48"/>
      <c r="H26" s="49"/>
    </row>
    <row r="27" spans="2:12">
      <c r="B27" s="89"/>
      <c r="C27" s="89"/>
      <c r="D27" s="89"/>
      <c r="E27" s="89"/>
      <c r="F27" s="89"/>
      <c r="G27" s="89"/>
      <c r="H27" s="89"/>
    </row>
    <row r="28" spans="2:12">
      <c r="B28" s="89"/>
      <c r="C28" s="89"/>
      <c r="D28" s="89"/>
      <c r="E28" s="89"/>
      <c r="F28" s="89"/>
      <c r="G28" s="89"/>
      <c r="H28" s="89"/>
    </row>
    <row r="29" spans="2:12">
      <c r="B29" s="42"/>
      <c r="C29" s="32" t="s">
        <v>82</v>
      </c>
      <c r="D29" s="32"/>
      <c r="E29" s="29"/>
      <c r="F29" s="29"/>
      <c r="G29" s="29"/>
      <c r="H29" s="43"/>
    </row>
    <row r="30" spans="2:12">
      <c r="B30" s="42"/>
      <c r="C30" s="44" t="s">
        <v>9</v>
      </c>
      <c r="D30" s="45"/>
      <c r="E30" s="29"/>
      <c r="F30" s="29"/>
      <c r="G30" s="29"/>
      <c r="H30" s="46" cm="1">
        <f t="array" ref="H30">SUMPRODUCT(
  IFERROR(
    ((VALUE(TRIM(LEFT($D$10:$D$17,FIND("x",$D$10:$D$17)-1)))/1000) *
     (VALUE(TRIM(MID($D$10:$D$17,FIND("x",$D$10:$D$17)+1,LEN($D$10:$D$17))))/1000) *
     25) * $E$10:$E$17,
    0
  )
)</f>
        <v>2825</v>
      </c>
    </row>
    <row r="31" spans="2:12">
      <c r="B31" s="42"/>
      <c r="C31" s="44" t="s">
        <v>10</v>
      </c>
      <c r="D31" s="45"/>
      <c r="E31" s="29"/>
      <c r="F31" s="29"/>
      <c r="G31" s="29"/>
      <c r="H31" s="46" cm="1">
        <f t="array" ref="H31">SUMPRODUCT(
IFERROR(
(
(
(VALUE(TRIM(LEFT($D$10:$D$904,FIND("x",$D$10:$D$904)-1))))+
(VALUE(TRIM(MID($D$10:$D$904,FIND("x",$D$10:$D$904)+1,LEN($D$10:$D$904)))))
)*2/1000*5
)*$E$10:$E$904,
0
)
)</f>
        <v>300</v>
      </c>
    </row>
    <row r="32" spans="2:12" ht="15.75" thickBot="1">
      <c r="B32" s="47"/>
      <c r="C32" s="48"/>
      <c r="D32" s="48"/>
      <c r="E32" s="48"/>
      <c r="F32" s="48"/>
      <c r="G32" s="48"/>
      <c r="H32" s="49"/>
    </row>
    <row r="33" spans="2:8">
      <c r="B33" s="89"/>
      <c r="C33" s="89"/>
      <c r="D33" s="89"/>
      <c r="E33" s="89"/>
      <c r="F33" s="89"/>
      <c r="G33" s="89"/>
      <c r="H33" s="89"/>
    </row>
    <row r="34" spans="2:8">
      <c r="B34" s="22" t="s">
        <v>81</v>
      </c>
    </row>
    <row r="35" spans="2:8">
      <c r="B35" s="22" t="s">
        <v>80</v>
      </c>
    </row>
  </sheetData>
  <mergeCells count="1">
    <mergeCell ref="B2:E2"/>
  </mergeCells>
  <phoneticPr fontId="12" type="noConversion"/>
  <printOptions horizontalCentered="1"/>
  <pageMargins left="0.70866141732283472" right="0.70866141732283472" top="0.74803149606299213" bottom="0.74803149606299213" header="0.31496062992125984" footer="0.31496062992125984"/>
  <pageSetup paperSize="9" scale="79"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FD395-8197-4D3C-B642-2E56A6476B2A}">
  <dimension ref="A1"/>
  <sheetViews>
    <sheetView workbookViewId="0"/>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C5A9C-77D0-4FBE-9D59-E39382947394}">
  <dimension ref="A1:E29"/>
  <sheetViews>
    <sheetView showGridLines="0" view="pageLayout" zoomScale="85" zoomScaleNormal="100" zoomScalePageLayoutView="85" workbookViewId="0">
      <selection activeCell="F10" sqref="F10"/>
    </sheetView>
  </sheetViews>
  <sheetFormatPr defaultRowHeight="15"/>
  <cols>
    <col min="1" max="1" width="16" customWidth="1"/>
    <col min="2" max="2" width="31" customWidth="1"/>
    <col min="3" max="3" width="18.7109375" customWidth="1"/>
    <col min="4" max="4" width="18.5703125" customWidth="1"/>
    <col min="5" max="9" width="18.7109375" customWidth="1"/>
  </cols>
  <sheetData>
    <row r="1" spans="1:5">
      <c r="A1" t="s">
        <v>35</v>
      </c>
    </row>
    <row r="5" spans="1:5" ht="32.25" customHeight="1"/>
    <row r="6" spans="1:5" ht="39.75" customHeight="1">
      <c r="A6" s="84" t="s">
        <v>40</v>
      </c>
      <c r="B6" s="84"/>
      <c r="C6" s="84"/>
      <c r="D6" s="84"/>
    </row>
    <row r="7" spans="1:5" ht="42.75" customHeight="1">
      <c r="A7" s="83" t="s">
        <v>59</v>
      </c>
      <c r="B7" s="83"/>
      <c r="C7" s="83"/>
      <c r="D7" s="83"/>
      <c r="E7" s="83"/>
    </row>
    <row r="8" spans="1:5" ht="45" customHeight="1">
      <c r="A8" s="83" t="s">
        <v>60</v>
      </c>
      <c r="B8" s="83"/>
      <c r="C8" s="83"/>
      <c r="D8" s="83"/>
      <c r="E8" s="83"/>
    </row>
    <row r="9" spans="1:5" ht="52.5" customHeight="1">
      <c r="A9" s="83" t="s">
        <v>61</v>
      </c>
      <c r="B9" s="83"/>
      <c r="C9" s="83"/>
      <c r="D9" s="83"/>
      <c r="E9" s="83"/>
    </row>
    <row r="10" spans="1:5" ht="49.5" customHeight="1">
      <c r="A10" s="83" t="s">
        <v>62</v>
      </c>
      <c r="B10" s="83"/>
      <c r="C10" s="83"/>
      <c r="D10" s="83"/>
      <c r="E10" s="83"/>
    </row>
    <row r="11" spans="1:5" ht="67.5" customHeight="1">
      <c r="A11" s="83" t="s">
        <v>63</v>
      </c>
      <c r="B11" s="83"/>
      <c r="C11" s="83"/>
      <c r="D11" s="83"/>
      <c r="E11" s="83"/>
    </row>
    <row r="12" spans="1:5" ht="91.5" customHeight="1">
      <c r="A12" s="83" t="s">
        <v>64</v>
      </c>
      <c r="B12" s="83"/>
      <c r="C12" s="83"/>
      <c r="D12" s="83"/>
      <c r="E12" s="83"/>
    </row>
    <row r="13" spans="1:5" ht="92.25" customHeight="1">
      <c r="A13" s="83" t="s">
        <v>65</v>
      </c>
      <c r="B13" s="83"/>
      <c r="C13" s="83"/>
      <c r="D13" s="83"/>
      <c r="E13" s="83"/>
    </row>
    <row r="14" spans="1:5" ht="81" customHeight="1">
      <c r="A14" s="83" t="s">
        <v>66</v>
      </c>
      <c r="B14" s="83"/>
      <c r="C14" s="83"/>
      <c r="D14" s="83"/>
      <c r="E14" s="83"/>
    </row>
    <row r="15" spans="1:5" ht="79.5" customHeight="1">
      <c r="A15" s="83" t="s">
        <v>67</v>
      </c>
      <c r="B15" s="83"/>
      <c r="C15" s="83"/>
      <c r="D15" s="83"/>
      <c r="E15" s="83"/>
    </row>
    <row r="16" spans="1:5" ht="78.75" customHeight="1">
      <c r="A16" s="83" t="s">
        <v>68</v>
      </c>
      <c r="B16" s="83"/>
      <c r="C16" s="83"/>
      <c r="D16" s="83"/>
      <c r="E16" s="83"/>
    </row>
    <row r="17" spans="1:5" ht="68.25" customHeight="1">
      <c r="A17" s="83" t="s">
        <v>69</v>
      </c>
      <c r="B17" s="83"/>
      <c r="C17" s="83"/>
      <c r="D17" s="83"/>
      <c r="E17" s="83"/>
    </row>
    <row r="18" spans="1:5" ht="54.75" customHeight="1">
      <c r="A18" s="83" t="s">
        <v>70</v>
      </c>
      <c r="B18" s="83"/>
      <c r="C18" s="83"/>
      <c r="D18" s="83"/>
      <c r="E18" s="83"/>
    </row>
    <row r="19" spans="1:5" ht="96.75" customHeight="1">
      <c r="A19" s="81"/>
      <c r="B19" s="81"/>
      <c r="C19" s="81"/>
      <c r="D19" s="81"/>
      <c r="E19" s="81"/>
    </row>
    <row r="20" spans="1:5" ht="79.5" customHeight="1">
      <c r="A20" s="83" t="s">
        <v>71</v>
      </c>
      <c r="B20" s="83"/>
      <c r="C20" s="83"/>
      <c r="D20" s="83"/>
      <c r="E20" s="83"/>
    </row>
    <row r="21" spans="1:5" ht="42.75" customHeight="1">
      <c r="A21" s="85" t="s">
        <v>72</v>
      </c>
      <c r="B21" s="85"/>
      <c r="C21" s="85"/>
      <c r="D21" s="85"/>
      <c r="E21" s="85"/>
    </row>
    <row r="22" spans="1:5" ht="55.5" customHeight="1">
      <c r="A22" s="83" t="s">
        <v>73</v>
      </c>
      <c r="B22" s="83"/>
      <c r="C22" s="83"/>
      <c r="D22" s="83"/>
      <c r="E22" s="83"/>
    </row>
    <row r="23" spans="1:5" ht="54.75" customHeight="1">
      <c r="A23" s="83" t="s">
        <v>74</v>
      </c>
      <c r="B23" s="83"/>
      <c r="C23" s="83"/>
      <c r="D23" s="83"/>
      <c r="E23" s="83"/>
    </row>
    <row r="24" spans="1:5" ht="67.5" customHeight="1">
      <c r="A24" s="83" t="s">
        <v>75</v>
      </c>
      <c r="B24" s="83"/>
      <c r="C24" s="83"/>
      <c r="D24" s="83"/>
      <c r="E24" s="83"/>
    </row>
    <row r="25" spans="1:5" ht="57" customHeight="1">
      <c r="A25" s="83" t="s">
        <v>76</v>
      </c>
      <c r="B25" s="83"/>
      <c r="C25" s="83"/>
      <c r="D25" s="83"/>
      <c r="E25" s="83"/>
    </row>
    <row r="26" spans="1:5" ht="42.75" customHeight="1">
      <c r="A26" s="83" t="s">
        <v>77</v>
      </c>
      <c r="B26" s="83"/>
      <c r="C26" s="83"/>
      <c r="D26" s="83"/>
      <c r="E26" s="83"/>
    </row>
    <row r="27" spans="1:5" ht="55.5" customHeight="1">
      <c r="A27" s="83" t="s">
        <v>78</v>
      </c>
      <c r="B27" s="83"/>
      <c r="C27" s="83"/>
      <c r="D27" s="83"/>
      <c r="E27" s="83"/>
    </row>
    <row r="28" spans="1:5">
      <c r="A28" s="82"/>
      <c r="B28" s="82"/>
      <c r="C28" s="82"/>
      <c r="D28" s="82"/>
    </row>
    <row r="29" spans="1:5">
      <c r="A29" s="82"/>
      <c r="B29" s="82"/>
      <c r="C29" s="82"/>
      <c r="D29" s="82"/>
    </row>
  </sheetData>
  <sheetProtection algorithmName="SHA-512" hashValue="MwLLRdB8Uqx9BggMsiUR3syAmY0/7OxAylbFUKWHccEnqrhwyxujkfwnM29D/v8oi8YwB32Yvs6igL/N8WJu5A==" saltValue="iBA4x5ahphLCLTIuhYY2YQ==" spinCount="100000" sheet="1" objects="1" scenarios="1"/>
  <mergeCells count="23">
    <mergeCell ref="A16:E16"/>
    <mergeCell ref="A17:E17"/>
    <mergeCell ref="A18:E18"/>
    <mergeCell ref="A20:E20"/>
    <mergeCell ref="A21:E21"/>
    <mergeCell ref="A11:E11"/>
    <mergeCell ref="A12:E12"/>
    <mergeCell ref="A13:E13"/>
    <mergeCell ref="A14:E14"/>
    <mergeCell ref="A15:E15"/>
    <mergeCell ref="A6:D6"/>
    <mergeCell ref="A7:E7"/>
    <mergeCell ref="A8:E8"/>
    <mergeCell ref="A9:E9"/>
    <mergeCell ref="A10:E10"/>
    <mergeCell ref="A29:D29"/>
    <mergeCell ref="A28:D28"/>
    <mergeCell ref="A22:E22"/>
    <mergeCell ref="A23:E23"/>
    <mergeCell ref="A24:E24"/>
    <mergeCell ref="A25:E25"/>
    <mergeCell ref="A26:E26"/>
    <mergeCell ref="A27:E27"/>
  </mergeCells>
  <pageMargins left="0.94488188976377963" right="0.59055118110236227" top="0.74803149606299213" bottom="0.74803149606299213" header="0.31496062992125984" footer="0.31496062992125984"/>
  <pageSetup paperSize="9" scale="80" fitToHeight="0" orientation="portrait" horizontalDpi="4294967293" verticalDpi="0" r:id="rId1"/>
  <headerFooter>
    <oddHeader>&amp;L&amp;G</oddHeader>
    <oddFooter>&amp;L&amp;G</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BE029A084523C4C9690FE69933833E4" ma:contentTypeVersion="13" ma:contentTypeDescription="Create a new document." ma:contentTypeScope="" ma:versionID="ea0102621c254a52cce962875d17cc19">
  <xsd:schema xmlns:xsd="http://www.w3.org/2001/XMLSchema" xmlns:xs="http://www.w3.org/2001/XMLSchema" xmlns:p="http://schemas.microsoft.com/office/2006/metadata/properties" xmlns:ns2="359e9d9c-6da6-4414-8f33-9b1e23a086bd" xmlns:ns3="4e5a12e3-a629-4321-b9bc-d3f635bdafe6" targetNamespace="http://schemas.microsoft.com/office/2006/metadata/properties" ma:root="true" ma:fieldsID="d5c8fb579f508b6898d48401d08065f5" ns2:_="" ns3:_="">
    <xsd:import namespace="359e9d9c-6da6-4414-8f33-9b1e23a086bd"/>
    <xsd:import namespace="4e5a12e3-a629-4321-b9bc-d3f635bdaf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9e9d9c-6da6-4414-8f33-9b1e23a086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83be254-cc43-47b8-9a5a-09ba0c78463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e5a12e3-a629-4321-b9bc-d3f635bdaf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71da778-5d1f-4e83-8ad3-6b840307155b}" ma:internalName="TaxCatchAll" ma:showField="CatchAllData" ma:web="4e5a12e3-a629-4321-b9bc-d3f635bdaf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59e9d9c-6da6-4414-8f33-9b1e23a086bd">
      <Terms xmlns="http://schemas.microsoft.com/office/infopath/2007/PartnerControls"/>
    </lcf76f155ced4ddcb4097134ff3c332f>
    <TaxCatchAll xmlns="4e5a12e3-a629-4321-b9bc-d3f635bdafe6" xsi:nil="true"/>
  </documentManagement>
</p:properties>
</file>

<file path=customXml/itemProps1.xml><?xml version="1.0" encoding="utf-8"?>
<ds:datastoreItem xmlns:ds="http://schemas.openxmlformats.org/officeDocument/2006/customXml" ds:itemID="{A06D7275-3704-4AF1-B8E2-7009E079FB82}">
  <ds:schemaRefs>
    <ds:schemaRef ds:uri="http://schemas.microsoft.com/sharepoint/v3/contenttype/forms"/>
  </ds:schemaRefs>
</ds:datastoreItem>
</file>

<file path=customXml/itemProps2.xml><?xml version="1.0" encoding="utf-8"?>
<ds:datastoreItem xmlns:ds="http://schemas.openxmlformats.org/officeDocument/2006/customXml" ds:itemID="{E37FF949-1FAB-46F5-BBAC-EC8481410C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9e9d9c-6da6-4414-8f33-9b1e23a086bd"/>
    <ds:schemaRef ds:uri="4e5a12e3-a629-4321-b9bc-d3f635bdaf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08D9E55-B511-40D0-AFC6-817AEF118AF9}">
  <ds:schemaRefs>
    <ds:schemaRef ds:uri="359e9d9c-6da6-4414-8f33-9b1e23a086bd"/>
    <ds:schemaRef ds:uri="http://www.w3.org/XML/1998/namespace"/>
    <ds:schemaRef ds:uri="http://purl.org/dc/elements/1.1/"/>
    <ds:schemaRef ds:uri="http://schemas.microsoft.com/office/2006/metadata/properties"/>
    <ds:schemaRef ds:uri="http://purl.org/dc/terms/"/>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4e5a12e3-a629-4321-b9bc-d3f635bdafe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Cover Letter</vt:lpstr>
      <vt:lpstr>Quotation </vt:lpstr>
      <vt:lpstr>Drawings </vt:lpstr>
      <vt:lpstr>Terms &amp; Condition</vt:lpstr>
      <vt:lpstr>'Cover Letter'!Print_Area</vt:lpstr>
      <vt:lpstr>'Quotation '!Print_Area</vt:lpstr>
      <vt:lpstr>'Terms &amp; Condition'!Print_Area</vt:lpstr>
      <vt:lpstr>'Quotation '!Print_Titles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Parker;dan.parker@agsurveying.co.uk</dc:creator>
  <cp:lastModifiedBy>Fenster Glazing</cp:lastModifiedBy>
  <cp:lastPrinted>2026-03-04T15:45:18Z</cp:lastPrinted>
  <dcterms:created xsi:type="dcterms:W3CDTF">2018-12-07T08:13:03Z</dcterms:created>
  <dcterms:modified xsi:type="dcterms:W3CDTF">2026-03-23T13:27:18Z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0x010100BBE029A084523C4C9690FE69933833E4</vt:lpwstr>
  </property>
  <property fmtid="{D5CDD505-2E9C-101B-9397-08002B2CF9AE}" pid="3" name="MediaServiceImageTags">
    <vt:lpwstr/>
  </property>
</Properties>
</file>