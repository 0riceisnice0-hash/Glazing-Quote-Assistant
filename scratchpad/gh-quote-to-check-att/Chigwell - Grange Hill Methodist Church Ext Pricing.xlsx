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ensterglazingcom-my.sharepoint.com/personal/info_fensterglazing_com/Documents/Commercial/1. Tender Documents/Chigwell (London) PLC/Grange Hill Methodist Church/1. Estimating/3. Client Quote/"/>
    </mc:Choice>
  </mc:AlternateContent>
  <xr:revisionPtr revIDLastSave="1418" documentId="114_{188D9452-00F8-4FF3-81FB-8BB9ED4D89DC}" xr6:coauthVersionLast="47" xr6:coauthVersionMax="47" xr10:uidLastSave="{CB7FA36C-807F-4001-93DE-8922E4D2F959}"/>
  <bookViews>
    <workbookView xWindow="28680" yWindow="-120" windowWidth="29040" windowHeight="15720" tabRatio="965" xr2:uid="{EAF262EC-D744-49F4-8CB7-0A23F03598E6}"/>
  </bookViews>
  <sheets>
    <sheet name="Pricing Document " sheetId="84" r:id="rId1"/>
  </sheets>
  <externalReferences>
    <externalReference r:id="rId2"/>
    <externalReference r:id="rId3"/>
  </externalReferences>
  <definedNames>
    <definedName name="Access_Control">'[1]Item Budgets'!$B$156:$B$167</definedName>
    <definedName name="Audio_Visual">'[1]Item Budgets'!$B$167:$B$178</definedName>
    <definedName name="Beam">#REF!</definedName>
    <definedName name="Beams">#REF!</definedName>
    <definedName name="BeamTon">#REF!</definedName>
    <definedName name="Channel">#REF!</definedName>
    <definedName name="Channels">#REF!</definedName>
    <definedName name="ChannelTon">#REF!</definedName>
    <definedName name="CHSs">#REF!</definedName>
    <definedName name="Column">#REF!</definedName>
    <definedName name="Columns">#REF!</definedName>
    <definedName name="ColumnTon">#REF!</definedName>
    <definedName name="CONTAINMENT">'[1]Item Budgets'!$B$95:$B$111</definedName>
    <definedName name="DISTRIBUTION">'[1]Item Budgets'!$B$123:$B$134</definedName>
    <definedName name="EMERGENCY_LIGHTING">'[1]Item Budgets'!$B$23:$B$34</definedName>
    <definedName name="Equal">#REF!</definedName>
    <definedName name="EqualTon">#REF!</definedName>
    <definedName name="FIRE_ALARM">'[1]Item Budgets'!$B$112:$B$123</definedName>
    <definedName name="Heating_Interface">'[1]Item Budgets'!$B$178:$B$189</definedName>
    <definedName name="Lighting">'[1]Item Budgets'!$B$4:$B$23</definedName>
    <definedName name="LIGHTING_CONTROL">'[1]Item Budgets'!$B$34:$B$45</definedName>
    <definedName name="LIST">[1]Containment!#REF!</definedName>
    <definedName name="List1">#REF!</definedName>
    <definedName name="List2">#REF!</definedName>
    <definedName name="List3">#REF!</definedName>
    <definedName name="Mechanical_Supplies">'[1]Item Budgets'!$B$134:$B$145</definedName>
    <definedName name="MISCELLANEOUS">'[1]Item Budgets'!$B$189:$B$207</definedName>
    <definedName name="PCFTon">#REF!</definedName>
    <definedName name="PFC">#REF!</definedName>
    <definedName name="PFCs">#REF!</definedName>
    <definedName name="PFCTon">#REF!</definedName>
    <definedName name="PRELIMS">'[1]Item Budgets'!$B$207:$B$216</definedName>
    <definedName name="_xlnm.Print_Area" localSheetId="0">'Pricing Document '!$C$1:$I$32</definedName>
    <definedName name="_xlnm.Print_Titles" localSheetId="0">'Pricing Document '!$2:$7</definedName>
    <definedName name="RHS">#REF!</definedName>
    <definedName name="RHSs">#REF!</definedName>
    <definedName name="RHSTon">#REF!</definedName>
    <definedName name="RSJ">#REF!</definedName>
    <definedName name="RSJs">#REF!</definedName>
    <definedName name="RSJTon">#REF!</definedName>
    <definedName name="SHS">#REF!</definedName>
    <definedName name="SHSs">#REF!</definedName>
    <definedName name="SHSsTon">#REF!</definedName>
    <definedName name="SHSTon">#REF!</definedName>
    <definedName name="Site_Temporaries">'[1]Item Budgets'!$B$217:$B$228</definedName>
    <definedName name="SMALL_POWER">'[1]Item Budgets'!$B$45:$B$95</definedName>
    <definedName name="Steels">#REF!</definedName>
    <definedName name="Type">#REF!,#REF!,#REF!,#REF!,#REF!,#REF!,#REF!,#REF!,#REF!</definedName>
    <definedName name="Types">'[2]Type List'!$A$2:$A$8</definedName>
    <definedName name="Unequal">#REF!</definedName>
    <definedName name="UnequalTon">#REF!</definedName>
    <definedName name="Ventilation">'[1]Item Budgets'!$B$145:$B$156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5" i="84" l="1"/>
  <c r="H20" i="84"/>
  <c r="I20" i="84" s="1"/>
  <c r="P20" i="84" a="1"/>
  <c r="P20" i="84" s="1"/>
  <c r="O20" i="84"/>
  <c r="M20" i="84"/>
  <c r="N20" i="84"/>
  <c r="I29" i="84" l="1" a="1"/>
  <c r="I29" i="84" s="1"/>
  <c r="I28" i="84" a="1"/>
  <c r="I28" i="84" s="1"/>
  <c r="H10" i="84"/>
  <c r="I10" i="84" s="1"/>
  <c r="H11" i="84"/>
  <c r="I11" i="84" s="1"/>
  <c r="H12" i="84"/>
  <c r="I12" i="84" s="1"/>
  <c r="H13" i="84"/>
  <c r="I13" i="84" s="1"/>
  <c r="H14" i="84"/>
  <c r="I14" i="84" s="1"/>
  <c r="H15" i="84"/>
  <c r="I15" i="84" s="1"/>
  <c r="H16" i="84"/>
  <c r="I16" i="84" s="1"/>
  <c r="H18" i="84"/>
  <c r="I18" i="84" s="1"/>
  <c r="H19" i="84"/>
  <c r="I19" i="84" s="1"/>
  <c r="O10" i="84" l="1"/>
  <c r="O11" i="84"/>
  <c r="O12" i="84"/>
  <c r="O13" i="84"/>
  <c r="O14" i="84"/>
  <c r="O15" i="84"/>
  <c r="N10" i="84"/>
  <c r="N11" i="84"/>
  <c r="N12" i="84"/>
  <c r="N13" i="84"/>
  <c r="N14" i="84"/>
  <c r="N15" i="84"/>
  <c r="M10" i="84"/>
  <c r="M11" i="84"/>
  <c r="M12" i="84"/>
  <c r="M13" i="84"/>
  <c r="M14" i="84"/>
  <c r="M15" i="84"/>
  <c r="P13" i="84" a="1"/>
  <c r="P14" i="84" a="1"/>
  <c r="P15" i="84" a="1"/>
  <c r="M16" i="84"/>
  <c r="N16" i="84"/>
  <c r="O16" i="84"/>
  <c r="P16" i="84" a="1"/>
  <c r="M17" i="84"/>
  <c r="N17" i="84"/>
  <c r="O17" i="84"/>
  <c r="P17" i="84" a="1"/>
  <c r="M18" i="84"/>
  <c r="N18" i="84"/>
  <c r="O18" i="84"/>
  <c r="P18" i="84" a="1"/>
  <c r="M19" i="84"/>
  <c r="N19" i="84"/>
  <c r="O19" i="84"/>
  <c r="P19" i="84" a="1"/>
  <c r="M21" i="84"/>
  <c r="N21" i="84"/>
  <c r="O21" i="84"/>
  <c r="O9" i="84"/>
  <c r="M9" i="84" s="1"/>
  <c r="H9" i="84" s="1"/>
  <c r="I9" i="84" s="1"/>
  <c r="P9" i="84" a="1"/>
  <c r="P10" i="84" a="1"/>
  <c r="P11" i="84" a="1"/>
  <c r="P12" i="84" a="1"/>
  <c r="N9" i="84" l="1"/>
  <c r="I22" i="84" s="1" a="1"/>
  <c r="I22" i="84" s="1"/>
  <c r="I24" i="84" s="1"/>
  <c r="P19" i="84"/>
  <c r="P18" i="84"/>
  <c r="P17" i="84"/>
  <c r="P16" i="84"/>
  <c r="P15" i="84"/>
  <c r="P14" i="84"/>
  <c r="P13" i="84"/>
  <c r="P12" i="84"/>
  <c r="P11" i="84"/>
  <c r="P10" i="84"/>
  <c r="P9" i="84"/>
  <c r="P21" i="8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<sst xmlns="http://schemas.openxmlformats.org/spreadsheetml/2006/main" count="73" uniqueCount="53">
  <si>
    <t>Unit</t>
  </si>
  <si>
    <t>Qty</t>
  </si>
  <si>
    <t>Description</t>
  </si>
  <si>
    <t>nr</t>
  </si>
  <si>
    <t>Total</t>
  </si>
  <si>
    <t>Frames</t>
  </si>
  <si>
    <t xml:space="preserve">Glass </t>
  </si>
  <si>
    <t xml:space="preserve">Additional </t>
  </si>
  <si>
    <t>CW</t>
  </si>
  <si>
    <t>INSTALLATION</t>
  </si>
  <si>
    <t xml:space="preserve">Size </t>
  </si>
  <si>
    <t>OPTIONAL</t>
  </si>
  <si>
    <t>Unit Rate</t>
  </si>
  <si>
    <t>CW LABOUR</t>
  </si>
  <si>
    <t>CW SQM</t>
  </si>
  <si>
    <t>Supplier used:</t>
  </si>
  <si>
    <t xml:space="preserve">   </t>
  </si>
  <si>
    <t xml:space="preserve"> </t>
  </si>
  <si>
    <t>TOTAL*</t>
  </si>
  <si>
    <t>** This pricing document should be read in conjunction with the Terms and Conditions.</t>
  </si>
  <si>
    <r>
      <t xml:space="preserve">* </t>
    </r>
    <r>
      <rPr>
        <i/>
        <sz val="11"/>
        <color theme="1"/>
        <rFont val="Aptos"/>
        <family val="2"/>
      </rPr>
      <t xml:space="preserve">Total value excluding VAT. </t>
    </r>
  </si>
  <si>
    <t>BSW</t>
  </si>
  <si>
    <t>EXTERNAL MASTIC</t>
  </si>
  <si>
    <t>PRODUCT CODES</t>
  </si>
  <si>
    <t>EPDM</t>
  </si>
  <si>
    <t>Project Reference: Grange Hill Methodist Church Ext</t>
  </si>
  <si>
    <t>Date: 29/07/2026</t>
  </si>
  <si>
    <t>Site Address: Burrow Rd, Chigwell, IG7 4HQ</t>
  </si>
  <si>
    <t xml:space="preserve">Sheerline Aluminium Windows </t>
  </si>
  <si>
    <t>West Elevation W1</t>
  </si>
  <si>
    <t>West Elevation W2</t>
  </si>
  <si>
    <t>West Elevation W3</t>
  </si>
  <si>
    <t>West Elevation W4</t>
  </si>
  <si>
    <t>South Elevation W10</t>
  </si>
  <si>
    <t>South Elevation W11</t>
  </si>
  <si>
    <t>South Elevation W12</t>
  </si>
  <si>
    <t xml:space="preserve">SMA Aluminium Doors </t>
  </si>
  <si>
    <t>West Elevation D1</t>
  </si>
  <si>
    <t>West Elevation D2</t>
  </si>
  <si>
    <t>South Elevation D3</t>
  </si>
  <si>
    <t>1200 x 3000</t>
  </si>
  <si>
    <t>1200 x 1183</t>
  </si>
  <si>
    <t>2000 x 2100</t>
  </si>
  <si>
    <t>2900 x 2400</t>
  </si>
  <si>
    <t>1200 x 2100</t>
  </si>
  <si>
    <t>4588 x 2100</t>
  </si>
  <si>
    <t>5900 x 2300</t>
  </si>
  <si>
    <t>ELAW</t>
  </si>
  <si>
    <t>MAW</t>
  </si>
  <si>
    <t>SAD</t>
  </si>
  <si>
    <t>DAD</t>
  </si>
  <si>
    <t>Client: Chigwell Group</t>
  </si>
  <si>
    <t>West Elevation W5 - W9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</si>
</sst>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£&quot;#,##0.00;[Red]\-&quot;£&quot;#,##0.0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General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Gill Sans"/>
      <family val="2"/>
    </font>
    <font>
      <sz val="10"/>
      <name val="Courier"/>
      <family val="3"/>
    </font>
    <font>
      <sz val="10"/>
      <name val="Arial"/>
      <family val="2"/>
    </font>
    <font>
      <sz val="10"/>
      <color rgb="FF000000"/>
      <name val="Times New Roman"/>
      <family val="1"/>
    </font>
    <font>
      <u/>
      <sz val="10"/>
      <color theme="10"/>
      <name val="Times New Roman"/>
      <family val="1"/>
    </font>
    <font>
      <sz val="10"/>
      <name val="Aptos"/>
      <family val="2"/>
    </font>
    <font>
      <sz val="14"/>
      <name val="Aptos"/>
      <family val="2"/>
    </font>
    <font>
      <b/>
      <sz val="12"/>
      <color theme="0"/>
      <name val="Aptos"/>
      <family val="2"/>
    </font>
    <font>
      <b/>
      <sz val="10"/>
      <name val="Aptos"/>
      <family val="2"/>
    </font>
    <font>
      <sz val="11"/>
      <color theme="1"/>
      <name val="Aptos"/>
      <family val="2"/>
    </font>
    <font>
      <b/>
      <sz val="18"/>
      <color theme="1"/>
      <name val="Aptos"/>
      <family val="2"/>
    </font>
    <font>
      <b/>
      <i/>
      <sz val="11"/>
      <color theme="1"/>
      <name val="Aptos"/>
      <family val="2"/>
    </font>
    <font>
      <i/>
      <sz val="11"/>
      <color theme="1"/>
      <name val="Aptos"/>
      <family val="2"/>
    </font>
    <font>
      <b/>
      <sz val="11"/>
      <name val="Aptos"/>
      <family val="2"/>
    </font>
    <font>
      <b/>
      <sz val="12"/>
      <name val="Aptos"/>
      <family val="2"/>
    </font>
    <font>
      <b/>
      <sz val="10"/>
      <name val="Gill Sans"/>
    </font>
    <font>
      <sz val="1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D3A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4" fontId="3" fillId="0" borderId="0"/>
    <xf numFmtId="0" fontId="5" fillId="0" borderId="0"/>
    <xf numFmtId="4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7" fillId="0" borderId="0" xfId="0" applyFont="1"/>
    <xf numFmtId="0" fontId="8" fillId="0" borderId="0" xfId="0" applyFont="1"/>
    <xf numFmtId="2" fontId="9" fillId="3" borderId="9" xfId="0" applyNumberFormat="1" applyFont="1" applyFill="1" applyBorder="1" applyAlignment="1">
      <alignment vertical="center"/>
    </xf>
    <xf numFmtId="2" fontId="9" fillId="3" borderId="16" xfId="0" applyNumberFormat="1" applyFont="1" applyFill="1" applyBorder="1" applyAlignment="1">
      <alignment vertical="center"/>
    </xf>
    <xf numFmtId="2" fontId="9" fillId="3" borderId="8" xfId="0" applyNumberFormat="1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9" fillId="3" borderId="4" xfId="0" applyFont="1" applyFill="1" applyBorder="1" applyAlignment="1">
      <alignment vertical="center"/>
    </xf>
    <xf numFmtId="14" fontId="9" fillId="3" borderId="0" xfId="0" applyNumberFormat="1" applyFont="1" applyFill="1" applyAlignment="1">
      <alignment horizontal="left" vertical="center"/>
    </xf>
    <xf numFmtId="0" fontId="10" fillId="0" borderId="13" xfId="0" applyFont="1" applyBorder="1" applyAlignment="1">
      <alignment horizontal="left" wrapText="1" indent="2"/>
    </xf>
    <xf numFmtId="43" fontId="7" fillId="0" borderId="13" xfId="1" applyFont="1" applyFill="1" applyBorder="1" applyAlignment="1">
      <alignment horizontal="left" vertical="center" wrapText="1" indent="1"/>
    </xf>
    <xf numFmtId="43" fontId="7" fillId="0" borderId="13" xfId="1" applyFont="1" applyFill="1" applyBorder="1" applyAlignment="1">
      <alignment horizontal="left" wrapText="1"/>
    </xf>
    <xf numFmtId="43" fontId="7" fillId="0" borderId="13" xfId="1" applyFont="1" applyBorder="1" applyAlignment="1">
      <alignment horizontal="left" wrapText="1"/>
    </xf>
    <xf numFmtId="43" fontId="7" fillId="0" borderId="15" xfId="1" applyFont="1" applyBorder="1" applyAlignment="1">
      <alignment horizontal="right" vertical="center"/>
    </xf>
    <xf numFmtId="8" fontId="7" fillId="0" borderId="11" xfId="0" applyNumberFormat="1" applyFont="1" applyBorder="1" applyAlignment="1">
      <alignment horizontal="center" vertical="center"/>
    </xf>
    <xf numFmtId="43" fontId="7" fillId="0" borderId="13" xfId="1" applyFont="1" applyBorder="1" applyAlignment="1">
      <alignment horizontal="left" vertical="center" wrapText="1" indent="1"/>
    </xf>
    <xf numFmtId="0" fontId="11" fillId="0" borderId="0" xfId="0" applyFont="1" applyAlignment="1">
      <alignment vertical="center"/>
    </xf>
    <xf numFmtId="0" fontId="11" fillId="0" borderId="0" xfId="0" applyFont="1"/>
    <xf numFmtId="9" fontId="11" fillId="0" borderId="0" xfId="0" applyNumberFormat="1" applyFont="1"/>
    <xf numFmtId="0" fontId="11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2" fillId="2" borderId="18" xfId="0" applyFont="1" applyFill="1" applyBorder="1" applyAlignment="1">
      <alignment horizontal="left" vertical="center"/>
    </xf>
    <xf numFmtId="0" fontId="12" fillId="2" borderId="19" xfId="0" applyFont="1" applyFill="1" applyBorder="1" applyAlignment="1">
      <alignment horizontal="left" vertical="center"/>
    </xf>
    <xf numFmtId="0" fontId="12" fillId="2" borderId="19" xfId="0" applyFont="1" applyFill="1" applyBorder="1" applyAlignment="1">
      <alignment vertical="top"/>
    </xf>
    <xf numFmtId="0" fontId="12" fillId="2" borderId="20" xfId="0" applyFont="1" applyFill="1" applyBorder="1" applyAlignment="1">
      <alignment vertical="top"/>
    </xf>
    <xf numFmtId="0" fontId="10" fillId="2" borderId="0" xfId="0" applyFont="1" applyFill="1" applyAlignment="1">
      <alignment horizontal="left" wrapText="1"/>
    </xf>
    <xf numFmtId="44" fontId="10" fillId="2" borderId="4" xfId="9" applyFont="1" applyFill="1" applyBorder="1" applyAlignment="1">
      <alignment horizontal="right"/>
    </xf>
    <xf numFmtId="0" fontId="10" fillId="2" borderId="6" xfId="0" applyFont="1" applyFill="1" applyBorder="1" applyAlignment="1">
      <alignment horizontal="left" wrapText="1"/>
    </xf>
    <xf numFmtId="43" fontId="10" fillId="2" borderId="7" xfId="1" applyFont="1" applyFill="1" applyBorder="1" applyAlignment="1">
      <alignment horizontal="right"/>
    </xf>
    <xf numFmtId="164" fontId="10" fillId="2" borderId="17" xfId="2" applyFont="1" applyFill="1" applyBorder="1" applyAlignment="1">
      <alignment horizontal="center" vertical="center"/>
    </xf>
    <xf numFmtId="4" fontId="10" fillId="2" borderId="14" xfId="2" applyNumberFormat="1" applyFont="1" applyFill="1" applyBorder="1" applyAlignment="1">
      <alignment horizontal="center" vertical="center"/>
    </xf>
    <xf numFmtId="0" fontId="10" fillId="2" borderId="10" xfId="0" applyFont="1" applyFill="1" applyBorder="1"/>
    <xf numFmtId="0" fontId="10" fillId="2" borderId="1" xfId="0" applyFont="1" applyFill="1" applyBorder="1" applyAlignment="1">
      <alignment horizontal="left" wrapText="1"/>
    </xf>
    <xf numFmtId="43" fontId="10" fillId="2" borderId="1" xfId="1" applyFont="1" applyFill="1" applyBorder="1" applyAlignment="1"/>
    <xf numFmtId="43" fontId="10" fillId="2" borderId="2" xfId="1" applyFont="1" applyFill="1" applyBorder="1" applyAlignment="1">
      <alignment horizontal="right"/>
    </xf>
    <xf numFmtId="0" fontId="10" fillId="2" borderId="3" xfId="0" applyFont="1" applyFill="1" applyBorder="1"/>
    <xf numFmtId="0" fontId="15" fillId="2" borderId="0" xfId="0" applyFont="1" applyFill="1" applyAlignment="1">
      <alignment horizontal="center"/>
    </xf>
    <xf numFmtId="0" fontId="10" fillId="2" borderId="0" xfId="0" applyFont="1" applyFill="1"/>
    <xf numFmtId="43" fontId="10" fillId="2" borderId="0" xfId="1" applyFont="1" applyFill="1" applyBorder="1" applyAlignment="1"/>
    <xf numFmtId="44" fontId="10" fillId="2" borderId="4" xfId="9" applyFont="1" applyFill="1" applyBorder="1"/>
    <xf numFmtId="0" fontId="10" fillId="2" borderId="5" xfId="0" applyFont="1" applyFill="1" applyBorder="1"/>
    <xf numFmtId="0" fontId="10" fillId="2" borderId="6" xfId="0" applyFont="1" applyFill="1" applyBorder="1"/>
    <xf numFmtId="0" fontId="10" fillId="2" borderId="7" xfId="0" applyFont="1" applyFill="1" applyBorder="1"/>
    <xf numFmtId="43" fontId="10" fillId="2" borderId="10" xfId="1" applyFont="1" applyFill="1" applyBorder="1" applyAlignment="1"/>
    <xf numFmtId="43" fontId="10" fillId="2" borderId="1" xfId="1" applyFont="1" applyFill="1" applyBorder="1" applyAlignment="1">
      <alignment horizontal="center"/>
    </xf>
    <xf numFmtId="44" fontId="10" fillId="2" borderId="2" xfId="9" applyFont="1" applyFill="1" applyBorder="1" applyAlignment="1"/>
    <xf numFmtId="43" fontId="10" fillId="2" borderId="3" xfId="1" applyFont="1" applyFill="1" applyBorder="1" applyAlignment="1"/>
    <xf numFmtId="44" fontId="10" fillId="2" borderId="4" xfId="9" applyFont="1" applyFill="1" applyBorder="1" applyAlignment="1"/>
    <xf numFmtId="43" fontId="10" fillId="2" borderId="6" xfId="1" applyFont="1" applyFill="1" applyBorder="1" applyAlignment="1"/>
    <xf numFmtId="0" fontId="0" fillId="0" borderId="12" xfId="0" applyBorder="1" applyAlignment="1">
      <alignment horizontal="center"/>
    </xf>
    <xf numFmtId="44" fontId="2" fillId="0" borderId="0" xfId="9" applyFont="1"/>
    <xf numFmtId="44" fontId="11" fillId="0" borderId="0" xfId="9" applyFont="1"/>
    <xf numFmtId="2" fontId="11" fillId="0" borderId="0" xfId="0" applyNumberFormat="1" applyFont="1"/>
    <xf numFmtId="43" fontId="2" fillId="0" borderId="11" xfId="1" applyFont="1" applyFill="1" applyBorder="1" applyAlignment="1">
      <alignment horizontal="center" vertical="center"/>
    </xf>
    <xf numFmtId="43" fontId="10" fillId="2" borderId="0" xfId="1" applyFont="1" applyFill="1" applyBorder="1" applyAlignment="1">
      <alignment horizontal="center"/>
    </xf>
    <xf numFmtId="0" fontId="16" fillId="2" borderId="1" xfId="0" applyFont="1" applyFill="1" applyBorder="1" applyAlignment="1">
      <alignment horizontal="left" vertical="center" wrapText="1"/>
    </xf>
    <xf numFmtId="0" fontId="17" fillId="0" borderId="0" xfId="0" applyFont="1" applyAlignment="1">
      <alignment wrapText="1"/>
    </xf>
    <xf numFmtId="0" fontId="0" fillId="0" borderId="12" xfId="0" applyBorder="1" applyAlignment="1">
      <alignment horizontal="center" vertical="center"/>
    </xf>
    <xf numFmtId="44" fontId="7" fillId="0" borderId="0" xfId="0" applyNumberFormat="1" applyFont="1"/>
    <xf numFmtId="44" fontId="11" fillId="0" borderId="0" xfId="0" applyNumberFormat="1" applyFont="1"/>
    <xf numFmtId="0" fontId="7" fillId="0" borderId="23" xfId="0" quotePrefix="1" applyFont="1" applyBorder="1" applyAlignment="1">
      <alignment horizontal="center" vertical="center" wrapText="1"/>
    </xf>
    <xf numFmtId="0" fontId="7" fillId="0" borderId="24" xfId="0" quotePrefix="1" applyFont="1" applyBorder="1" applyAlignment="1">
      <alignment horizontal="center" vertical="center" wrapText="1"/>
    </xf>
    <xf numFmtId="164" fontId="10" fillId="2" borderId="25" xfId="2" applyFont="1" applyFill="1" applyBorder="1" applyAlignment="1">
      <alignment horizontal="center" vertical="center"/>
    </xf>
    <xf numFmtId="164" fontId="10" fillId="2" borderId="26" xfId="2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7" fillId="0" borderId="23" xfId="0" quotePrefix="1" applyFont="1" applyBorder="1" applyAlignment="1">
      <alignment horizontal="center" vertical="center"/>
    </xf>
    <xf numFmtId="0" fontId="18" fillId="0" borderId="24" xfId="0" quotePrefix="1" applyFont="1" applyBorder="1" applyAlignment="1">
      <alignment horizontal="center" vertical="center"/>
    </xf>
    <xf numFmtId="0" fontId="10" fillId="0" borderId="23" xfId="0" quotePrefix="1" applyFont="1" applyBorder="1" applyAlignment="1">
      <alignment horizontal="center" vertical="center" wrapText="1"/>
    </xf>
    <xf numFmtId="0" fontId="10" fillId="0" borderId="24" xfId="0" quotePrefix="1" applyFont="1" applyBorder="1" applyAlignment="1">
      <alignment horizontal="center" vertical="center" wrapText="1"/>
    </xf>
    <xf numFmtId="43" fontId="10" fillId="2" borderId="0" xfId="1" applyFont="1" applyFill="1" applyBorder="1" applyAlignment="1">
      <alignment horizontal="right"/>
    </xf>
    <xf numFmtId="43" fontId="10" fillId="2" borderId="1" xfId="1" applyFont="1" applyFill="1" applyBorder="1" applyAlignment="1">
      <alignment horizontal="center"/>
    </xf>
    <xf numFmtId="0" fontId="7" fillId="0" borderId="27" xfId="0" quotePrefix="1" applyFont="1" applyBorder="1" applyAlignment="1">
      <alignment horizontal="center" vertical="center" wrapText="1"/>
    </xf>
    <xf numFmtId="0" fontId="7" fillId="0" borderId="28" xfId="0" quotePrefix="1" applyFont="1" applyBorder="1" applyAlignment="1">
      <alignment horizontal="center" vertical="center" wrapText="1"/>
    </xf>
  </cellXfs>
  <cellStyles count="10">
    <cellStyle name="Comma" xfId="1" builtinId="3"/>
    <cellStyle name="Comma 2" xfId="8" xr:uid="{81CEFC51-4C2A-436C-A2C9-A66E1FF591F7}"/>
    <cellStyle name="Currency" xfId="9" builtinId="4"/>
    <cellStyle name="Currency 2" xfId="4" xr:uid="{45AD8AC9-3114-4D4C-A502-9A21B9039F94}"/>
    <cellStyle name="Currency 3" xfId="7" xr:uid="{1246749F-CD3B-4777-B6AF-21B6577C8F69}"/>
    <cellStyle name="Hyperlink 2" xfId="5" xr:uid="{48BB6550-F964-446B-A17D-0E19FF8A3742}"/>
    <cellStyle name="Normal" xfId="0" builtinId="0"/>
    <cellStyle name="Normal 2" xfId="6" xr:uid="{0E6D06DE-A11A-4CC1-BE43-B1EF8FF56ECA}"/>
    <cellStyle name="Normal 5" xfId="3" xr:uid="{7E353FCC-306B-4FE6-BA97-1E8F64BDB3FA}"/>
    <cellStyle name="Normal_Hand dug" xfId="2" xr:uid="{C04CEB16-3F41-48A1-ABAB-14F817E782F8}"/>
  </cellStyles>
  <dxfs count="0"/>
  <tableStyles count="0" defaultTableStyle="TableStyleMedium2" defaultPivotStyle="PivotStyleLight16"/>
  <colors>
    <mruColors>
      <color rgb="FF002D3A"/>
      <color rgb="FFD1F5FF"/>
      <color rgb="FF333F4F"/>
      <color rgb="FF009900"/>
      <color rgb="FFFF6699"/>
      <color rgb="FFFF9900"/>
      <color rgb="FFCECA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286459</xdr:colOff>
      <xdr:row>1</xdr:row>
      <xdr:rowOff>168861</xdr:rowOff>
    </xdr:from>
    <xdr:to>
      <xdr:col>4</xdr:col>
      <xdr:colOff>688490</xdr:colOff>
      <xdr:row>1</xdr:row>
      <xdr:rowOff>1222993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EDE2221-977A-43DE-AB28-7010677B6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1849" y="363171"/>
          <a:ext cx="2653740" cy="1050322"/>
        </a:xfrm>
        <a:prstGeom prst="rect">
          <a:avLst/>
        </a:prstGeom>
      </xdr:spPr>
    </xdr:pic>
    <xdr:clientData/>
  </xdr:twoCellAnchor>
  <xdr:twoCellAnchor>
    <xdr:from>
      <xdr:col>4</xdr:col>
      <xdr:colOff>1045959</xdr:colOff>
      <xdr:row>1</xdr:row>
      <xdr:rowOff>65330</xdr:rowOff>
    </xdr:from>
    <xdr:to>
      <xdr:col>8</xdr:col>
      <xdr:colOff>1053354</xdr:colOff>
      <xdr:row>1</xdr:row>
      <xdr:rowOff>1479176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E2939968-5EDA-404E-98B6-FCD0F89133C1}"/>
            </a:ext>
          </a:extLst>
        </xdr:cNvPr>
        <xdr:cNvSpPr txBox="1"/>
      </xdr:nvSpPr>
      <xdr:spPr>
        <a:xfrm>
          <a:off x="5050269" y="253925"/>
          <a:ext cx="3552600" cy="141384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lang="en-GB" sz="1100">
            <a:solidFill>
              <a:srgbClr val="002D3A"/>
            </a:solidFill>
            <a:latin typeface="Aptos" panose="020B0004020202020204" pitchFamily="34" charset="0"/>
          </a:endParaRPr>
        </a:p>
        <a:p>
          <a:pPr algn="r"/>
          <a:r>
            <a:rPr lang="en-GB" sz="1100">
              <a:solidFill>
                <a:srgbClr val="002D3A"/>
              </a:solidFill>
              <a:latin typeface="Aptos" panose="020B0004020202020204" pitchFamily="34" charset="0"/>
            </a:rPr>
            <a:t>97 -98 Alston Drive</a:t>
          </a:r>
          <a:r>
            <a:rPr lang="en-GB" sz="1100" baseline="0">
              <a:solidFill>
                <a:srgbClr val="002D3A"/>
              </a:solidFill>
              <a:latin typeface="Aptos" panose="020B0004020202020204" pitchFamily="34" charset="0"/>
            </a:rPr>
            <a:t> | Bradwell Abbey</a:t>
          </a:r>
        </a:p>
        <a:p>
          <a:pPr algn="r"/>
          <a:r>
            <a:rPr lang="en-GB" sz="1100" baseline="0">
              <a:solidFill>
                <a:srgbClr val="002D3A"/>
              </a:solidFill>
              <a:latin typeface="Aptos" panose="020B0004020202020204" pitchFamily="34" charset="0"/>
            </a:rPr>
            <a:t>Milton Keynes | Buckinghamshire | MK13 9HF</a:t>
          </a:r>
        </a:p>
        <a:p>
          <a:pPr algn="r"/>
          <a:endParaRPr lang="en-GB" sz="1100" baseline="0">
            <a:solidFill>
              <a:srgbClr val="002D3A"/>
            </a:solidFill>
            <a:latin typeface="Aptos" panose="020B0004020202020204" pitchFamily="34" charset="0"/>
          </a:endParaRPr>
        </a:p>
        <a:p>
          <a:pPr algn="r"/>
          <a:r>
            <a:rPr lang="en-GB" sz="1200" b="1" baseline="0">
              <a:solidFill>
                <a:srgbClr val="002D3A"/>
              </a:solidFill>
              <a:latin typeface="Aptos" panose="020B0004020202020204" pitchFamily="34" charset="0"/>
            </a:rPr>
            <a:t>www.fensterglazing.com</a:t>
          </a:r>
        </a:p>
        <a:p>
          <a:pPr algn="r"/>
          <a:endParaRPr lang="en-GB" sz="1100" baseline="0">
            <a:solidFill>
              <a:srgbClr val="002D3A"/>
            </a:solidFill>
            <a:latin typeface="Aptos" panose="020B0004020202020204" pitchFamily="34" charset="0"/>
          </a:endParaRPr>
        </a:p>
        <a:p>
          <a:pPr algn="r"/>
          <a:r>
            <a:rPr lang="en-GB" sz="1200" b="1" baseline="0">
              <a:solidFill>
                <a:srgbClr val="002D3A"/>
              </a:solidFill>
              <a:latin typeface="Aptos" panose="020B0004020202020204" pitchFamily="34" charset="0"/>
            </a:rPr>
            <a:t>01908 429200</a:t>
          </a:r>
          <a:endParaRPr lang="en-GB" sz="1200" b="1">
            <a:solidFill>
              <a:srgbClr val="002D3A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iamO'Donnell\AppData\Local\Microsoft\Windows\INetCache\Content.Outlook\GM4B1OQ8\Electrical%20Template%20-%20Draft%20-%20REV010.xlsx" TargetMode="External"/><Relationship Id="rId1" Type="http://schemas.openxmlformats.org/officeDocument/2006/relationships/externalLinkPath" Target="https://agsurveying.sharepoint.com/Users/LiamO'Donnell/AppData/Local/Microsoft/Windows/INetCache/Content.Outlook/GM4B1OQ8/Electrical%20Template%20-%20Draft%20-%20REV01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rke\AppData\Local\Microsoft\Windows\INetCache\Content.Outlook\MIF0VXSH\The%20Datum%20Group%20Electrical%20-%20TEMPLATE%20-%20Detailed%20breakdown%20Rev%205.xlsx" TargetMode="External"/><Relationship Id="rId1" Type="http://schemas.openxmlformats.org/officeDocument/2006/relationships/externalLinkPath" Target="https://agsurveying.sharepoint.com/Users/Parke/AppData/Local/Microsoft/Windows/INetCache/Content.Outlook/MIF0VXSH/The%20Datum%20Group%20Electrical%20-%20TEMPLATE%20-%20Detailed%20breakdown%20Rev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Summary"/>
      <sheetName val="Price Breakdown"/>
      <sheetName val="Item Budgets"/>
      <sheetName val="Containment"/>
      <sheetName val="Project Type"/>
      <sheetName val="Procore Measure"/>
      <sheetName val="Item Categories"/>
    </sheetNames>
    <sheetDataSet>
      <sheetData sheetId="0"/>
      <sheetData sheetId="1"/>
      <sheetData sheetId="2"/>
      <sheetData sheetId="3">
        <row r="4">
          <cell r="B4" t="str">
            <v>LIGHTING</v>
          </cell>
        </row>
        <row r="5">
          <cell r="B5" t="str">
            <v>Ceiling Mounted Luminaire</v>
          </cell>
        </row>
        <row r="6">
          <cell r="B6" t="str">
            <v>Double Sided Illuminated Emergency Exit Sign</v>
          </cell>
        </row>
        <row r="7">
          <cell r="B7" t="str">
            <v>Floor Mounted Luminaire - X12</v>
          </cell>
        </row>
        <row r="8">
          <cell r="B8" t="str">
            <v>Illuminated Emergency Exit Sign</v>
          </cell>
        </row>
        <row r="9">
          <cell r="B9" t="str">
            <v>Illuminated Emergency Exit Sign With Direction Arrow</v>
          </cell>
        </row>
        <row r="10">
          <cell r="B10" t="str">
            <v>Led Emergency Downlight</v>
          </cell>
        </row>
        <row r="11">
          <cell r="B11" t="str">
            <v>Led Strip Light</v>
          </cell>
        </row>
        <row r="12">
          <cell r="B12" t="str">
            <v>Lighting Wiring Point</v>
          </cell>
        </row>
        <row r="13">
          <cell r="B13" t="str">
            <v>Linear Luminaire</v>
          </cell>
        </row>
        <row r="14">
          <cell r="B14" t="str">
            <v>Photocell</v>
          </cell>
        </row>
        <row r="15">
          <cell r="B15" t="str">
            <v>PV Inverted, Relay &amp; DC/AC Isolator + Single Socket Outlet And RJ45 For Data For PV Panels</v>
          </cell>
        </row>
        <row r="16">
          <cell r="B16" t="str">
            <v>Recessed Modular Downlighter</v>
          </cell>
        </row>
        <row r="17">
          <cell r="B17" t="str">
            <v xml:space="preserve">Recessed Modular Uplighter </v>
          </cell>
        </row>
        <row r="18">
          <cell r="B18" t="str">
            <v>Wall Mounted Luminaire</v>
          </cell>
        </row>
        <row r="19">
          <cell r="B19" t="str">
            <v>Wall Mounted Luminaire - Emergency</v>
          </cell>
        </row>
        <row r="23">
          <cell r="B23" t="str">
            <v>EMERGENCY LIGHTING</v>
          </cell>
        </row>
        <row r="24">
          <cell r="B24" t="str">
            <v>EL Item 1</v>
          </cell>
        </row>
        <row r="25">
          <cell r="B25" t="str">
            <v>EL Item 2</v>
          </cell>
        </row>
        <row r="26">
          <cell r="B26" t="str">
            <v>EL Item 3</v>
          </cell>
        </row>
        <row r="27">
          <cell r="B27" t="str">
            <v>EL Item 4</v>
          </cell>
        </row>
        <row r="28">
          <cell r="B28" t="str">
            <v>EL Item 5</v>
          </cell>
        </row>
        <row r="29">
          <cell r="B29" t="str">
            <v>EL Item 6</v>
          </cell>
        </row>
        <row r="30">
          <cell r="B30" t="str">
            <v>EL Item 7</v>
          </cell>
        </row>
        <row r="31">
          <cell r="B31" t="str">
            <v>EL Item 8</v>
          </cell>
        </row>
        <row r="34">
          <cell r="B34" t="str">
            <v>LIGHTING CONTROL</v>
          </cell>
        </row>
        <row r="35">
          <cell r="B35" t="str">
            <v>LC Item 1</v>
          </cell>
        </row>
        <row r="36">
          <cell r="B36" t="str">
            <v>LC Item 2</v>
          </cell>
        </row>
        <row r="37">
          <cell r="B37" t="str">
            <v>LC Item 3</v>
          </cell>
        </row>
        <row r="38">
          <cell r="B38" t="str">
            <v>LC Item 4</v>
          </cell>
        </row>
        <row r="39">
          <cell r="B39" t="str">
            <v>LC Item 5</v>
          </cell>
        </row>
        <row r="40">
          <cell r="B40" t="str">
            <v>LC Item 6</v>
          </cell>
        </row>
        <row r="41">
          <cell r="B41" t="str">
            <v>LC Item 7</v>
          </cell>
        </row>
        <row r="42">
          <cell r="B42" t="str">
            <v>LC Item 8</v>
          </cell>
        </row>
        <row r="45">
          <cell r="B45" t="str">
            <v>SMALL POWER</v>
          </cell>
        </row>
        <row r="46">
          <cell r="B46" t="str">
            <v>1 Gang Switch</v>
          </cell>
        </row>
        <row r="47">
          <cell r="B47" t="str">
            <v>1 Gang Dimmer Switch</v>
          </cell>
        </row>
        <row r="48">
          <cell r="B48" t="str">
            <v>2 Gang Switch</v>
          </cell>
        </row>
        <row r="49">
          <cell r="B49" t="str">
            <v>20A Oven Control Unit</v>
          </cell>
        </row>
        <row r="50">
          <cell r="B50" t="str">
            <v>40A Cooker Control Unit</v>
          </cell>
        </row>
        <row r="51">
          <cell r="B51" t="str">
            <v>Automatic Transfer Switch</v>
          </cell>
        </row>
        <row r="52">
          <cell r="B52" t="str">
            <v>Booster Switch</v>
          </cell>
        </row>
        <row r="53">
          <cell r="B53" t="str">
            <v>Cooker Connection Point</v>
          </cell>
        </row>
        <row r="54">
          <cell r="B54" t="str">
            <v>Data Outlet</v>
          </cell>
        </row>
        <row r="55">
          <cell r="B55" t="str">
            <v>Door Bell</v>
          </cell>
        </row>
        <row r="56">
          <cell r="B56" t="str">
            <v>Doorbell Push</v>
          </cell>
        </row>
        <row r="57">
          <cell r="B57" t="str">
            <v>Double Pole Switch</v>
          </cell>
        </row>
        <row r="58">
          <cell r="B58" t="str">
            <v>Heat Alarm</v>
          </cell>
        </row>
        <row r="59">
          <cell r="B59" t="str">
            <v>Heat Detector</v>
          </cell>
        </row>
        <row r="60">
          <cell r="B60" t="str">
            <v>Intermediate Switch</v>
          </cell>
        </row>
        <row r="61">
          <cell r="B61" t="str">
            <v>Ip65 Switch With Neon</v>
          </cell>
        </row>
        <row r="62">
          <cell r="B62" t="str">
            <v>Junction Box</v>
          </cell>
        </row>
        <row r="63">
          <cell r="B63" t="str">
            <v>Multi Sensor Smoke/Heat Detector</v>
          </cell>
        </row>
        <row r="64">
          <cell r="B64" t="str">
            <v>Override Switches For External Lighting</v>
          </cell>
        </row>
        <row r="65">
          <cell r="B65" t="str">
            <v>Power Supply To The X11 Led Lights</v>
          </cell>
        </row>
        <row r="66">
          <cell r="B66" t="str">
            <v>Patch Panel</v>
          </cell>
        </row>
        <row r="67">
          <cell r="B67" t="str">
            <v>Presence Detector</v>
          </cell>
        </row>
        <row r="68">
          <cell r="B68" t="str">
            <v>Shaver Socket</v>
          </cell>
        </row>
        <row r="69">
          <cell r="B69" t="str">
            <v>Single Switch Socket Outlet</v>
          </cell>
        </row>
        <row r="70">
          <cell r="B70" t="str">
            <v>Smoke Alarm</v>
          </cell>
        </row>
        <row r="71">
          <cell r="B71" t="str">
            <v>Smoke Detector</v>
          </cell>
        </row>
        <row r="72">
          <cell r="B72" t="str">
            <v>Smoke/Heat/Co Alarm Remote Control Switch</v>
          </cell>
        </row>
        <row r="73">
          <cell r="B73" t="str">
            <v>Switch Fused Connection Unit - EF</v>
          </cell>
        </row>
        <row r="74">
          <cell r="B74" t="str">
            <v>Switch Fused Connection Unit - Heat Interface Unit</v>
          </cell>
        </row>
        <row r="75">
          <cell r="B75" t="str">
            <v>Switch Fused Connection Unit - IA</v>
          </cell>
        </row>
        <row r="76">
          <cell r="B76" t="str">
            <v>Switch Fused Connection Unit - Washing Machine</v>
          </cell>
        </row>
        <row r="77">
          <cell r="B77" t="str">
            <v>Switch Fused Connection Unit - Dish Washer</v>
          </cell>
        </row>
        <row r="78">
          <cell r="B78" t="str">
            <v>Switch Fused Connection Unit - Fridge Freezer</v>
          </cell>
        </row>
        <row r="79">
          <cell r="B79" t="str">
            <v>Switch Fused Connection Unit- HRV</v>
          </cell>
        </row>
        <row r="80">
          <cell r="B80" t="str">
            <v>Switched Fused Connection Unit</v>
          </cell>
        </row>
        <row r="81">
          <cell r="B81" t="str">
            <v>Switched Fused Connection Unit - ETR</v>
          </cell>
        </row>
        <row r="82">
          <cell r="B82" t="str">
            <v>Telephone Outlet</v>
          </cell>
        </row>
        <row r="83">
          <cell r="B83" t="str">
            <v>TP&amp;N Distribution Board</v>
          </cell>
        </row>
        <row r="84">
          <cell r="B84" t="str">
            <v>TP&amp;N Isolator</v>
          </cell>
        </row>
        <row r="85">
          <cell r="B85" t="str">
            <v>TP&amp;N Isolator - 20A</v>
          </cell>
        </row>
        <row r="86">
          <cell r="B86" t="str">
            <v>TP&amp;N Isolator - 300A</v>
          </cell>
        </row>
        <row r="87">
          <cell r="B87" t="str">
            <v>TP&amp;N Isolator - 32A</v>
          </cell>
        </row>
        <row r="88">
          <cell r="B88" t="str">
            <v>TP&amp;N Isolator - 63A</v>
          </cell>
        </row>
        <row r="89">
          <cell r="B89" t="str">
            <v>TV Socket</v>
          </cell>
        </row>
        <row r="90">
          <cell r="B90" t="str">
            <v>Twin RJ45 Data Outlet</v>
          </cell>
        </row>
        <row r="91">
          <cell r="B91" t="str">
            <v>Twin Switched Socket Outlet</v>
          </cell>
        </row>
        <row r="92">
          <cell r="B92" t="str">
            <v>Unswitched Fused Connection Unit</v>
          </cell>
        </row>
        <row r="95">
          <cell r="B95" t="str">
            <v>CONTAINMENT</v>
          </cell>
        </row>
        <row r="96">
          <cell r="B96" t="str">
            <v>100mm x 25mm tray</v>
          </cell>
        </row>
        <row r="97">
          <cell r="B97" t="str">
            <v>100mm x 50mm tray</v>
          </cell>
        </row>
        <row r="98">
          <cell r="B98" t="str">
            <v>150mm x 150mm Trunking</v>
          </cell>
        </row>
        <row r="99">
          <cell r="B99" t="str">
            <v>150mm x 25mm tray</v>
          </cell>
        </row>
        <row r="100">
          <cell r="B100" t="str">
            <v>225mm x 25mm tray</v>
          </cell>
        </row>
        <row r="101">
          <cell r="B101" t="str">
            <v>300mm x 25mm tray</v>
          </cell>
        </row>
        <row r="102">
          <cell r="B102" t="str">
            <v>450mm x 25mm tray</v>
          </cell>
        </row>
        <row r="103">
          <cell r="B103" t="str">
            <v>50mm x 25mm tray</v>
          </cell>
        </row>
        <row r="104">
          <cell r="B104" t="str">
            <v>50mm x 25mm tray</v>
          </cell>
        </row>
        <row r="105">
          <cell r="B105" t="str">
            <v>75mm x 25mm tray</v>
          </cell>
        </row>
        <row r="106">
          <cell r="B106" t="str">
            <v>C Item 11</v>
          </cell>
        </row>
        <row r="107">
          <cell r="B107" t="str">
            <v>C Item 12</v>
          </cell>
        </row>
        <row r="108">
          <cell r="B108" t="str">
            <v>C Item 13</v>
          </cell>
        </row>
        <row r="109">
          <cell r="B109" t="str">
            <v>C Item 14</v>
          </cell>
        </row>
        <row r="112">
          <cell r="B112" t="str">
            <v>FIRE ALARM</v>
          </cell>
        </row>
        <row r="113">
          <cell r="B113" t="str">
            <v>Fire Alarm Interface Unit</v>
          </cell>
        </row>
        <row r="114">
          <cell r="B114" t="str">
            <v>Fire Alarm Sounder</v>
          </cell>
        </row>
        <row r="115">
          <cell r="B115" t="str">
            <v>Smoke detectors</v>
          </cell>
        </row>
        <row r="116">
          <cell r="B116" t="str">
            <v>Heat detectors</v>
          </cell>
        </row>
        <row r="117">
          <cell r="B117" t="str">
            <v>CO2 detectors</v>
          </cell>
        </row>
        <row r="118">
          <cell r="B118" t="str">
            <v>FA Item 4</v>
          </cell>
        </row>
        <row r="119">
          <cell r="B119" t="str">
            <v>FA Item 5</v>
          </cell>
        </row>
        <row r="120">
          <cell r="B120" t="str">
            <v>FA Item 6</v>
          </cell>
        </row>
        <row r="123">
          <cell r="B123" t="str">
            <v>DISTRIBUTION</v>
          </cell>
        </row>
        <row r="124">
          <cell r="B124" t="str">
            <v>D Item 1</v>
          </cell>
        </row>
        <row r="125">
          <cell r="B125" t="str">
            <v>D Item 2</v>
          </cell>
        </row>
        <row r="126">
          <cell r="B126" t="str">
            <v>D Item 3</v>
          </cell>
        </row>
        <row r="127">
          <cell r="B127" t="str">
            <v>D Item 4</v>
          </cell>
        </row>
        <row r="128">
          <cell r="B128" t="str">
            <v>D Item 5</v>
          </cell>
        </row>
        <row r="129">
          <cell r="B129" t="str">
            <v>D Item 6</v>
          </cell>
        </row>
        <row r="130">
          <cell r="B130" t="str">
            <v>D Item 7</v>
          </cell>
        </row>
        <row r="131">
          <cell r="B131" t="str">
            <v>D Item 8</v>
          </cell>
        </row>
        <row r="134">
          <cell r="B134" t="str">
            <v>MECHANICAL SUPPLIES</v>
          </cell>
        </row>
        <row r="135">
          <cell r="B135" t="str">
            <v>MS Item 1</v>
          </cell>
        </row>
        <row r="136">
          <cell r="B136" t="str">
            <v>MS Item 2</v>
          </cell>
        </row>
        <row r="137">
          <cell r="B137" t="str">
            <v>MS Item 3</v>
          </cell>
        </row>
        <row r="138">
          <cell r="B138" t="str">
            <v>MS Item 4</v>
          </cell>
        </row>
        <row r="139">
          <cell r="B139" t="str">
            <v>MS Item 5</v>
          </cell>
        </row>
        <row r="140">
          <cell r="B140" t="str">
            <v>MS Item 6</v>
          </cell>
        </row>
        <row r="141">
          <cell r="B141" t="str">
            <v>MS Item 7</v>
          </cell>
        </row>
        <row r="142">
          <cell r="B142" t="str">
            <v>MS Item 8</v>
          </cell>
        </row>
        <row r="145">
          <cell r="B145" t="str">
            <v>VENTILATION</v>
          </cell>
        </row>
        <row r="146">
          <cell r="B146" t="str">
            <v>V Item 1</v>
          </cell>
        </row>
        <row r="147">
          <cell r="B147" t="str">
            <v>V Item 2</v>
          </cell>
        </row>
        <row r="148">
          <cell r="B148" t="str">
            <v>V Item 3</v>
          </cell>
        </row>
        <row r="149">
          <cell r="B149" t="str">
            <v>V Item 4</v>
          </cell>
        </row>
        <row r="150">
          <cell r="B150" t="str">
            <v>V Item 5</v>
          </cell>
        </row>
        <row r="151">
          <cell r="B151" t="str">
            <v>V Item 6</v>
          </cell>
        </row>
        <row r="152">
          <cell r="B152" t="str">
            <v>V Item 7</v>
          </cell>
        </row>
        <row r="153">
          <cell r="B153" t="str">
            <v>V Item 8</v>
          </cell>
        </row>
        <row r="156">
          <cell r="B156" t="str">
            <v>ACCESS CONTROL &amp; SECURITY</v>
          </cell>
        </row>
        <row r="157">
          <cell r="B157" t="str">
            <v>AC Item 1</v>
          </cell>
        </row>
        <row r="158">
          <cell r="B158" t="str">
            <v>AC Item 2</v>
          </cell>
        </row>
        <row r="159">
          <cell r="B159" t="str">
            <v>AC Item 3</v>
          </cell>
        </row>
        <row r="160">
          <cell r="B160" t="str">
            <v>AC Item 4</v>
          </cell>
        </row>
        <row r="161">
          <cell r="B161" t="str">
            <v>AC Item 5</v>
          </cell>
        </row>
        <row r="162">
          <cell r="B162" t="str">
            <v>AC Item 6</v>
          </cell>
        </row>
        <row r="163">
          <cell r="B163" t="str">
            <v>AC Item 7</v>
          </cell>
        </row>
        <row r="164">
          <cell r="B164" t="str">
            <v>AC Item 8</v>
          </cell>
        </row>
        <row r="167">
          <cell r="B167" t="str">
            <v>AUDIO VISUAL / TV / SATELITE</v>
          </cell>
        </row>
        <row r="168">
          <cell r="B168" t="str">
            <v>AV ITEM 1</v>
          </cell>
        </row>
        <row r="169">
          <cell r="B169" t="str">
            <v>AV ITEM 2</v>
          </cell>
        </row>
        <row r="170">
          <cell r="B170" t="str">
            <v>AV ITEM 3</v>
          </cell>
        </row>
        <row r="171">
          <cell r="B171" t="str">
            <v>AV ITEM 4</v>
          </cell>
        </row>
        <row r="172">
          <cell r="B172" t="str">
            <v>AV ITEM 5</v>
          </cell>
        </row>
        <row r="173">
          <cell r="B173" t="str">
            <v>AV ITEM 6</v>
          </cell>
        </row>
        <row r="174">
          <cell r="B174" t="str">
            <v>AV ITEM 7</v>
          </cell>
        </row>
        <row r="175">
          <cell r="B175" t="str">
            <v>AV ITEM 8</v>
          </cell>
        </row>
        <row r="178">
          <cell r="B178" t="str">
            <v>HEATING INTERFACE / CONTROLS</v>
          </cell>
        </row>
        <row r="179">
          <cell r="B179" t="str">
            <v>HI Item 1</v>
          </cell>
        </row>
        <row r="180">
          <cell r="B180" t="str">
            <v>HI Item 2</v>
          </cell>
        </row>
        <row r="181">
          <cell r="B181" t="str">
            <v>HI Item 3</v>
          </cell>
        </row>
        <row r="182">
          <cell r="B182" t="str">
            <v>HI Item 4</v>
          </cell>
        </row>
        <row r="183">
          <cell r="B183" t="str">
            <v>HI Item 5</v>
          </cell>
        </row>
        <row r="184">
          <cell r="B184" t="str">
            <v>HI Item 6</v>
          </cell>
        </row>
        <row r="185">
          <cell r="B185" t="str">
            <v>HI Item 7</v>
          </cell>
        </row>
        <row r="186">
          <cell r="B186" t="str">
            <v>HI Item 8</v>
          </cell>
        </row>
        <row r="189">
          <cell r="B189" t="str">
            <v>MISCELLANEOUS</v>
          </cell>
        </row>
        <row r="190">
          <cell r="B190" t="str">
            <v>Door Entry Handset</v>
          </cell>
        </row>
        <row r="191">
          <cell r="B191" t="str">
            <v>Electric Meter</v>
          </cell>
        </row>
        <row r="192">
          <cell r="B192" t="str">
            <v>Electric Towel Rail</v>
          </cell>
        </row>
        <row r="193">
          <cell r="B193" t="str">
            <v>Flex Connection Outlet</v>
          </cell>
        </row>
        <row r="194">
          <cell r="B194" t="str">
            <v>Ryefield Board</v>
          </cell>
        </row>
        <row r="195">
          <cell r="B195" t="str">
            <v>SP&amp;N Distribution Board</v>
          </cell>
        </row>
        <row r="196">
          <cell r="B196" t="str">
            <v>SP&amp;N Isolator</v>
          </cell>
        </row>
        <row r="197">
          <cell r="B197" t="str">
            <v>Earthing &amp; bonding</v>
          </cell>
        </row>
        <row r="198">
          <cell r="B198" t="str">
            <v>Surge protection</v>
          </cell>
        </row>
        <row r="199">
          <cell r="B199" t="str">
            <v>M Item 3</v>
          </cell>
        </row>
        <row r="200">
          <cell r="B200" t="str">
            <v>M Item 4</v>
          </cell>
        </row>
        <row r="201">
          <cell r="B201" t="str">
            <v>M Item 5</v>
          </cell>
        </row>
        <row r="202">
          <cell r="B202" t="str">
            <v>M Item 6</v>
          </cell>
        </row>
        <row r="203">
          <cell r="B203" t="str">
            <v>M Item 7</v>
          </cell>
        </row>
        <row r="204">
          <cell r="B204" t="str">
            <v>M Item 8</v>
          </cell>
        </row>
        <row r="207">
          <cell r="B207" t="str">
            <v>PRELIMS</v>
          </cell>
        </row>
        <row r="208">
          <cell r="B208" t="str">
            <v xml:space="preserve">O&amp;M's </v>
          </cell>
        </row>
        <row r="209">
          <cell r="B209" t="str">
            <v xml:space="preserve">Testing and Commissioning </v>
          </cell>
        </row>
        <row r="210">
          <cell r="B210" t="str">
            <v>Storage of tools and materials</v>
          </cell>
        </row>
        <row r="211">
          <cell r="B211" t="str">
            <v>Project Management</v>
          </cell>
        </row>
        <row r="212">
          <cell r="B212" t="str">
            <v>Access Towers</v>
          </cell>
        </row>
        <row r="213">
          <cell r="B213" t="str">
            <v>P Item 2</v>
          </cell>
        </row>
        <row r="214">
          <cell r="B214" t="str">
            <v>P Item 3</v>
          </cell>
        </row>
        <row r="217">
          <cell r="B217" t="str">
            <v>SITE TEMPORARIES</v>
          </cell>
        </row>
        <row r="218">
          <cell r="B218" t="str">
            <v>ST Item 1</v>
          </cell>
        </row>
        <row r="219">
          <cell r="B219" t="str">
            <v>ST Item 2</v>
          </cell>
        </row>
        <row r="220">
          <cell r="B220" t="str">
            <v>ST Item 3</v>
          </cell>
        </row>
        <row r="221">
          <cell r="B221" t="str">
            <v>ST Item 4</v>
          </cell>
        </row>
        <row r="222">
          <cell r="B222" t="str">
            <v>ST Item 5</v>
          </cell>
        </row>
        <row r="223">
          <cell r="B223" t="str">
            <v>ST Item 6</v>
          </cell>
        </row>
        <row r="224">
          <cell r="B224" t="str">
            <v>ST Item 7</v>
          </cell>
        </row>
        <row r="225">
          <cell r="B225" t="str">
            <v>ST Item 8</v>
          </cell>
        </row>
        <row r="228">
          <cell r="B228" t="str">
            <v>END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ing"/>
      <sheetName val="Breakdown"/>
      <sheetName val="Proc Sheet"/>
      <sheetName val="Containment"/>
      <sheetName val="Containment List"/>
      <sheetName val="Lighting"/>
      <sheetName val="Lighting List"/>
      <sheetName val="Sockets"/>
      <sheetName val="Sockets List"/>
      <sheetName val="Switches"/>
      <sheetName val="Switches List"/>
      <sheetName val="Consumer_Unit"/>
      <sheetName val="Consumer Unit List"/>
      <sheetName val="Misc"/>
      <sheetName val="Misc List"/>
      <sheetName val="Other"/>
      <sheetName val="Other List"/>
      <sheetName val="Type List"/>
    </sheetNames>
    <sheetDataSet>
      <sheetData sheetId="0" refreshError="1"/>
      <sheetData sheetId="1">
        <row r="10">
          <cell r="E10">
            <v>1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A2" t="str">
            <v>Containment</v>
          </cell>
        </row>
        <row r="3">
          <cell r="A3" t="str">
            <v>Lighting</v>
          </cell>
        </row>
        <row r="4">
          <cell r="A4" t="str">
            <v>Sockets</v>
          </cell>
        </row>
        <row r="5">
          <cell r="A5" t="str">
            <v>Switches</v>
          </cell>
        </row>
        <row r="6">
          <cell r="A6" t="str">
            <v>Consumer Unit</v>
          </cell>
        </row>
        <row r="7">
          <cell r="A7" t="str">
            <v>Misc</v>
          </cell>
        </row>
        <row r="8">
          <cell r="A8" t="str">
            <v>Other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5EB0-0568-43F7-A053-C3763FF69EAA}">
  <sheetPr>
    <pageSetUpPr fitToPage="1"/>
  </sheetPr>
  <dimension ref="B1:V36"/>
  <sheetViews>
    <sheetView tabSelected="1" zoomScaleNormal="100" workbookViewId="0">
      <selection activeCell="L22" sqref="L22"/>
    </sheetView>
  </sheetViews>
  <sheetFormatPr defaultColWidth="8.85546875" defaultRowHeight="15"/>
  <cols>
    <col min="1" max="1" width="4.7109375" customWidth="1"/>
    <col min="2" max="2" width="13.7109375" customWidth="1"/>
    <col min="3" max="3" width="9.7109375" style="1" customWidth="1"/>
    <col min="4" max="4" width="22.85546875" style="2" customWidth="1"/>
    <col min="5" max="5" width="12.85546875" style="2" customWidth="1"/>
    <col min="6" max="6" width="10.85546875" style="2" customWidth="1"/>
    <col min="7" max="7" width="6.5703125" style="2" customWidth="1"/>
    <col min="8" max="8" width="11.28515625" style="2" bestFit="1" customWidth="1"/>
    <col min="9" max="9" width="17.7109375" style="1" customWidth="1"/>
    <col min="10" max="10" width="20" customWidth="1"/>
    <col min="11" max="11" width="26.85546875" customWidth="1"/>
    <col min="12" max="12" width="26.140625" customWidth="1"/>
    <col min="13" max="13" width="15.85546875" customWidth="1"/>
    <col min="14" max="14" width="17.85546875" customWidth="1"/>
    <col min="15" max="15" width="13.7109375" customWidth="1"/>
  </cols>
  <sheetData>
    <row r="1" spans="2:22" ht="15.75" thickBot="1"/>
    <row r="2" spans="2:22" s="2" customFormat="1" ht="118.5" customHeight="1">
      <c r="C2" s="26"/>
      <c r="D2" s="27"/>
      <c r="E2" s="27"/>
      <c r="F2" s="28"/>
      <c r="G2" s="28"/>
      <c r="H2" s="28"/>
      <c r="I2" s="29"/>
      <c r="J2" s="20"/>
      <c r="K2" s="20"/>
      <c r="L2" s="20"/>
      <c r="M2" s="20"/>
      <c r="N2" s="20"/>
      <c r="O2" s="20"/>
      <c r="P2" s="20"/>
      <c r="Q2" s="20"/>
    </row>
    <row r="3" spans="2:22" ht="15.75">
      <c r="C3" s="6" t="s">
        <v>51</v>
      </c>
      <c r="D3" s="7"/>
      <c r="E3" s="7"/>
      <c r="F3" s="7"/>
      <c r="G3" s="7"/>
      <c r="H3" s="7"/>
      <c r="I3" s="8"/>
      <c r="J3" s="21"/>
      <c r="K3" s="20" t="s">
        <v>15</v>
      </c>
      <c r="L3" s="20" t="s">
        <v>21</v>
      </c>
      <c r="M3" s="56">
        <v>9477.01</v>
      </c>
      <c r="N3" s="21"/>
      <c r="O3" s="21"/>
      <c r="P3" s="21"/>
      <c r="Q3" s="21"/>
    </row>
    <row r="4" spans="2:22" ht="15.75">
      <c r="C4" s="9" t="s">
        <v>25</v>
      </c>
      <c r="D4" s="10"/>
      <c r="E4" s="10"/>
      <c r="F4" s="10"/>
      <c r="G4" s="10"/>
      <c r="H4" s="10"/>
      <c r="I4" s="11"/>
      <c r="J4" s="22"/>
      <c r="K4" s="21"/>
      <c r="L4" s="21"/>
      <c r="M4" s="56">
        <v>13354.08</v>
      </c>
      <c r="N4" s="21"/>
      <c r="O4" s="21"/>
      <c r="P4" s="21"/>
      <c r="Q4" s="21"/>
    </row>
    <row r="5" spans="2:22" ht="15.75">
      <c r="C5" s="9" t="s">
        <v>27</v>
      </c>
      <c r="D5" s="10"/>
      <c r="E5" s="10"/>
      <c r="F5" s="10"/>
      <c r="G5" s="10"/>
      <c r="H5" s="10"/>
      <c r="I5" s="11"/>
      <c r="J5" s="21"/>
      <c r="K5" s="21"/>
      <c r="L5" s="21"/>
      <c r="M5" s="64">
        <f>SUM(M3:M4)</f>
        <v>22831.09</v>
      </c>
      <c r="N5" s="21"/>
      <c r="O5" s="21"/>
      <c r="P5" s="21"/>
      <c r="Q5" s="21"/>
    </row>
    <row r="6" spans="2:22" ht="16.5" thickBot="1">
      <c r="C6" s="9" t="s">
        <v>26</v>
      </c>
      <c r="D6" s="12"/>
      <c r="E6" s="10"/>
      <c r="F6" s="10"/>
      <c r="G6" s="10"/>
      <c r="H6" s="10"/>
      <c r="I6" s="11"/>
      <c r="J6" s="21"/>
      <c r="K6" s="21"/>
      <c r="L6" s="21"/>
      <c r="M6" s="21"/>
      <c r="N6" s="21"/>
      <c r="O6" s="21"/>
      <c r="P6" s="4"/>
      <c r="Q6" s="4"/>
      <c r="R6" s="3"/>
      <c r="S6" s="3"/>
      <c r="T6" s="3"/>
      <c r="U6" s="3"/>
      <c r="V6" s="3"/>
    </row>
    <row r="7" spans="2:22" s="3" customFormat="1" ht="15" customHeight="1" thickBot="1">
      <c r="C7" s="67" t="s">
        <v>2</v>
      </c>
      <c r="D7" s="68"/>
      <c r="E7" s="34" t="s">
        <v>10</v>
      </c>
      <c r="F7" s="34" t="s">
        <v>1</v>
      </c>
      <c r="G7" s="34" t="s">
        <v>0</v>
      </c>
      <c r="H7" s="34" t="s">
        <v>12</v>
      </c>
      <c r="I7" s="35" t="s">
        <v>4</v>
      </c>
      <c r="J7" s="4"/>
      <c r="K7" s="4"/>
      <c r="L7" s="4"/>
      <c r="M7" s="4"/>
      <c r="N7" s="4"/>
      <c r="O7" s="4"/>
      <c r="P7" s="4"/>
      <c r="Q7" s="4"/>
    </row>
    <row r="8" spans="2:22" s="3" customFormat="1" ht="27.75" customHeight="1">
      <c r="B8" s="61" t="s">
        <v>23</v>
      </c>
      <c r="C8" s="69" t="s">
        <v>28</v>
      </c>
      <c r="D8" s="70"/>
      <c r="E8" s="13"/>
      <c r="F8" s="14"/>
      <c r="G8" s="15"/>
      <c r="H8" s="16"/>
      <c r="I8" s="17"/>
      <c r="J8" s="4" t="s">
        <v>5</v>
      </c>
      <c r="K8" s="4" t="s">
        <v>6</v>
      </c>
      <c r="L8" s="4" t="s">
        <v>7</v>
      </c>
      <c r="M8" s="4" t="s">
        <v>8</v>
      </c>
      <c r="N8" s="4" t="s">
        <v>13</v>
      </c>
      <c r="O8" s="21" t="s">
        <v>14</v>
      </c>
      <c r="P8" s="4"/>
      <c r="Q8" s="4"/>
    </row>
    <row r="9" spans="2:22" s="3" customFormat="1">
      <c r="B9" s="4" t="s">
        <v>47</v>
      </c>
      <c r="C9" s="71" t="s">
        <v>29</v>
      </c>
      <c r="D9" s="72"/>
      <c r="E9" s="54" t="s">
        <v>40</v>
      </c>
      <c r="F9" s="58">
        <v>1</v>
      </c>
      <c r="G9" s="18" t="s">
        <v>3</v>
      </c>
      <c r="H9" s="19">
        <f>IF(B9="CW",
M9,
J9+K9+L9+
IF(B9="SUPD",1000*75%,
IF(B9="DUPD",1500*75%,
IF(B9="SAD",1200*75%,
IF(B9="DAD",2000*75%,
IF(B9="ELAW",850*75%,
IF(B9="LAW",650*75%,
IF(B9="MAW",550*75%,
IF(B9="SAW",450*75%,
IF(B9="LPVC",450*75%,
IF(B9="MPVC",400*75%,
IF(B9="SPVC",350*75%,
IF(B9="SADLAW",2000*75%,
IF(B9="SADMAW",1900*75%,
IF(B9="SADSAW",1700*75%,0)))))))))))))))</f>
        <v>1498.83</v>
      </c>
      <c r="I9" s="17">
        <f>SUM(H9*F9)</f>
        <v>1498.83</v>
      </c>
      <c r="J9" s="55">
        <v>861.33</v>
      </c>
      <c r="K9" s="4"/>
      <c r="L9" s="4"/>
      <c r="M9" s="4">
        <f t="shared" ref="M9:M15" si="0">IF(B9="CW",SUM(O9*850),0)</f>
        <v>0</v>
      </c>
      <c r="N9" s="4">
        <f t="shared" ref="N9:N15" si="1">IF(B9="CW",SUM(O9*150),0)</f>
        <v>0</v>
      </c>
      <c r="O9" s="21">
        <f>(TRIM(LEFT(E9,FIND("x",E9)-1)) * TRIM(MID(E9,FIND("x",E9)+1,LEN(E9)))) / 1000000</f>
        <v>3.6</v>
      </c>
      <c r="P9" s="4" cm="1">
        <f t="array" ref="P9">SUM(F9*J9:K9)</f>
        <v>861.33</v>
      </c>
      <c r="Q9" s="4"/>
    </row>
    <row r="10" spans="2:22" s="3" customFormat="1">
      <c r="B10" s="4" t="s">
        <v>48</v>
      </c>
      <c r="C10" s="71" t="s">
        <v>30</v>
      </c>
      <c r="D10" s="72"/>
      <c r="E10" s="54" t="s">
        <v>41</v>
      </c>
      <c r="F10" s="58">
        <v>1</v>
      </c>
      <c r="G10" s="18" t="s">
        <v>3</v>
      </c>
      <c r="H10" s="19">
        <f t="shared" ref="H10:H20" si="2">IF(B10="CW",
M10,
J10+K10+L10+
IF(B10="SUPD",1000*75%,
IF(B10="DUPD",1500*75%,
IF(B10="SAD",1200*75%,
IF(B10="DAD",2000*75%,
IF(B10="ELAW",850*75%,
IF(B10="LAW",650*75%,
IF(B10="MAW",550*75%,
IF(B10="SAW",450*75%,
IF(B10="LPVC",450*75%,
IF(B10="MPVC",400*75%,
IF(B10="SPVC",350*75%,
IF(B10="SADLAW",2000*75%,
IF(B10="SADMAW",1900*75%,
IF(B10="SADSAW",1700*75%,0)))))))))))))))</f>
        <v>820.06999999999994</v>
      </c>
      <c r="I10" s="17">
        <f t="shared" ref="I10:I20" si="3">SUM(H10*F10)</f>
        <v>820.06999999999994</v>
      </c>
      <c r="J10" s="55">
        <v>407.57</v>
      </c>
      <c r="K10" s="4"/>
      <c r="L10" s="4"/>
      <c r="M10" s="4">
        <f t="shared" si="0"/>
        <v>0</v>
      </c>
      <c r="N10" s="4">
        <f t="shared" si="1"/>
        <v>0</v>
      </c>
      <c r="O10" s="21">
        <f t="shared" ref="O10:O15" si="4">(TRIM(LEFT(E10,FIND("x",E10)-1)) * TRIM(MID(E10,FIND("x",E10)+1,LEN(E10)))) / 1000000</f>
        <v>1.4196</v>
      </c>
      <c r="P10" s="4" cm="1">
        <f t="array" ref="P10">SUM(F10*J10:K10)</f>
        <v>407.57</v>
      </c>
      <c r="Q10" s="4"/>
    </row>
    <row r="11" spans="2:22" s="3" customFormat="1">
      <c r="B11" s="4" t="s">
        <v>47</v>
      </c>
      <c r="C11" s="71" t="s">
        <v>31</v>
      </c>
      <c r="D11" s="72"/>
      <c r="E11" s="54" t="s">
        <v>40</v>
      </c>
      <c r="F11" s="58">
        <v>1</v>
      </c>
      <c r="G11" s="18" t="s">
        <v>3</v>
      </c>
      <c r="H11" s="19">
        <f t="shared" si="2"/>
        <v>1498.83</v>
      </c>
      <c r="I11" s="17">
        <f t="shared" si="3"/>
        <v>1498.83</v>
      </c>
      <c r="J11" s="55">
        <v>861.33</v>
      </c>
      <c r="K11" s="4"/>
      <c r="L11" s="4"/>
      <c r="M11" s="4">
        <f t="shared" si="0"/>
        <v>0</v>
      </c>
      <c r="N11" s="4">
        <f t="shared" si="1"/>
        <v>0</v>
      </c>
      <c r="O11" s="21">
        <f t="shared" si="4"/>
        <v>3.6</v>
      </c>
      <c r="P11" s="4" cm="1">
        <f t="array" ref="P11">SUM(F11*J11:K11)</f>
        <v>861.33</v>
      </c>
      <c r="Q11" s="4"/>
    </row>
    <row r="12" spans="2:22" s="3" customFormat="1">
      <c r="B12" s="4" t="s">
        <v>48</v>
      </c>
      <c r="C12" s="71" t="s">
        <v>32</v>
      </c>
      <c r="D12" s="72"/>
      <c r="E12" s="54" t="s">
        <v>41</v>
      </c>
      <c r="F12" s="58">
        <v>1</v>
      </c>
      <c r="G12" s="18" t="s">
        <v>3</v>
      </c>
      <c r="H12" s="19">
        <f t="shared" si="2"/>
        <v>820.06999999999994</v>
      </c>
      <c r="I12" s="17">
        <f t="shared" si="3"/>
        <v>820.06999999999994</v>
      </c>
      <c r="J12" s="55">
        <v>407.57</v>
      </c>
      <c r="K12" s="4"/>
      <c r="L12" s="4"/>
      <c r="M12" s="4">
        <f t="shared" si="0"/>
        <v>0</v>
      </c>
      <c r="N12" s="4">
        <f t="shared" si="1"/>
        <v>0</v>
      </c>
      <c r="O12" s="21">
        <f t="shared" si="4"/>
        <v>1.4196</v>
      </c>
      <c r="P12" s="4" cm="1">
        <f t="array" ref="P12">SUM(F12*J12:K12)</f>
        <v>407.57</v>
      </c>
      <c r="Q12" s="4"/>
    </row>
    <row r="13" spans="2:22" s="3" customFormat="1">
      <c r="B13" s="4" t="s">
        <v>48</v>
      </c>
      <c r="C13" s="71" t="s">
        <v>52</v>
      </c>
      <c r="D13" s="72"/>
      <c r="E13" s="54" t="s">
        <v>41</v>
      </c>
      <c r="F13" s="58">
        <v>5</v>
      </c>
      <c r="G13" s="18" t="s">
        <v>3</v>
      </c>
      <c r="H13" s="19">
        <f t="shared" si="2"/>
        <v>831.81999999999994</v>
      </c>
      <c r="I13" s="17">
        <f t="shared" si="3"/>
        <v>4159.0999999999995</v>
      </c>
      <c r="J13" s="55">
        <v>419.32</v>
      </c>
      <c r="K13" s="4"/>
      <c r="L13" s="4"/>
      <c r="M13" s="4">
        <f t="shared" si="0"/>
        <v>0</v>
      </c>
      <c r="N13" s="4">
        <f t="shared" si="1"/>
        <v>0</v>
      </c>
      <c r="O13" s="21">
        <f t="shared" si="4"/>
        <v>1.4196</v>
      </c>
      <c r="P13" s="4" cm="1">
        <f t="array" ref="P13">SUM(F13*J13:K13)</f>
        <v>2096.6</v>
      </c>
      <c r="Q13" s="4"/>
    </row>
    <row r="14" spans="2:22" s="3" customFormat="1">
      <c r="B14" s="4" t="s">
        <v>47</v>
      </c>
      <c r="C14" s="71" t="s">
        <v>33</v>
      </c>
      <c r="D14" s="72"/>
      <c r="E14" s="54" t="s">
        <v>42</v>
      </c>
      <c r="F14" s="58">
        <v>1</v>
      </c>
      <c r="G14" s="18" t="s">
        <v>3</v>
      </c>
      <c r="H14" s="19">
        <f t="shared" si="2"/>
        <v>1604.6399999999999</v>
      </c>
      <c r="I14" s="17">
        <f t="shared" si="3"/>
        <v>1604.6399999999999</v>
      </c>
      <c r="J14" s="55">
        <v>967.14</v>
      </c>
      <c r="K14" s="4"/>
      <c r="L14" s="4"/>
      <c r="M14" s="4">
        <f t="shared" si="0"/>
        <v>0</v>
      </c>
      <c r="N14" s="4">
        <f t="shared" si="1"/>
        <v>0</v>
      </c>
      <c r="O14" s="21">
        <f t="shared" si="4"/>
        <v>4.2</v>
      </c>
      <c r="P14" s="4" cm="1">
        <f t="array" ref="P14">SUM(F14*J14:K14)</f>
        <v>967.14</v>
      </c>
      <c r="Q14" s="4"/>
    </row>
    <row r="15" spans="2:22" s="3" customFormat="1">
      <c r="B15" s="4" t="s">
        <v>47</v>
      </c>
      <c r="C15" s="71" t="s">
        <v>34</v>
      </c>
      <c r="D15" s="72"/>
      <c r="E15" s="54" t="s">
        <v>43</v>
      </c>
      <c r="F15" s="58">
        <v>1</v>
      </c>
      <c r="G15" s="18" t="s">
        <v>3</v>
      </c>
      <c r="H15" s="19">
        <f t="shared" si="2"/>
        <v>3426.35</v>
      </c>
      <c r="I15" s="17">
        <f t="shared" si="3"/>
        <v>3426.35</v>
      </c>
      <c r="J15" s="55">
        <v>1788.85</v>
      </c>
      <c r="K15" s="4"/>
      <c r="L15" s="4">
        <v>1000</v>
      </c>
      <c r="M15" s="4">
        <f t="shared" si="0"/>
        <v>0</v>
      </c>
      <c r="N15" s="4">
        <f t="shared" si="1"/>
        <v>0</v>
      </c>
      <c r="O15" s="21">
        <f t="shared" si="4"/>
        <v>6.96</v>
      </c>
      <c r="P15" s="4" cm="1">
        <f t="array" ref="P15">SUM(F15*J15:K15)</f>
        <v>1788.85</v>
      </c>
      <c r="Q15" s="4"/>
    </row>
    <row r="16" spans="2:22" s="3" customFormat="1">
      <c r="B16" s="4" t="s">
        <v>47</v>
      </c>
      <c r="C16" s="71" t="s">
        <v>35</v>
      </c>
      <c r="D16" s="72"/>
      <c r="E16" s="54" t="s">
        <v>43</v>
      </c>
      <c r="F16" s="58">
        <v>1</v>
      </c>
      <c r="G16" s="18" t="s">
        <v>3</v>
      </c>
      <c r="H16" s="19">
        <f t="shared" si="2"/>
        <v>3304.8</v>
      </c>
      <c r="I16" s="17">
        <f t="shared" si="3"/>
        <v>3304.8</v>
      </c>
      <c r="J16" s="55">
        <v>1667.3</v>
      </c>
      <c r="K16" s="4"/>
      <c r="L16" s="4">
        <v>1000</v>
      </c>
      <c r="M16" s="4">
        <f t="shared" ref="M16:M21" si="5">IF(B16="CW",SUM(O16*850),0)</f>
        <v>0</v>
      </c>
      <c r="N16" s="4">
        <f t="shared" ref="N16:N21" si="6">IF(B16="CW",SUM(O16*150),0)</f>
        <v>0</v>
      </c>
      <c r="O16" s="21">
        <f t="shared" ref="O16:O21" si="7">(TRIM(LEFT(E16,FIND("x",E16)-1)) * TRIM(MID(E16,FIND("x",E16)+1,LEN(E16)))) / 1000000</f>
        <v>6.96</v>
      </c>
      <c r="P16" s="4" cm="1">
        <f t="array" ref="P16">SUM(F16*J16:K16)</f>
        <v>1667.3</v>
      </c>
      <c r="Q16" s="4"/>
    </row>
    <row r="17" spans="2:17" s="3" customFormat="1">
      <c r="B17" s="4"/>
      <c r="C17" s="73" t="s">
        <v>36</v>
      </c>
      <c r="D17" s="74"/>
      <c r="E17" s="54"/>
      <c r="F17" s="58"/>
      <c r="G17" s="18"/>
      <c r="H17" s="19"/>
      <c r="I17" s="17"/>
      <c r="J17" s="55"/>
      <c r="K17" s="4"/>
      <c r="L17" s="4"/>
      <c r="M17" s="4">
        <f t="shared" si="5"/>
        <v>0</v>
      </c>
      <c r="N17" s="4">
        <f t="shared" si="6"/>
        <v>0</v>
      </c>
      <c r="O17" s="21" t="e">
        <f t="shared" si="7"/>
        <v>#VALUE!</v>
      </c>
      <c r="P17" s="4" cm="1">
        <f t="array" ref="P17">SUM(F17*J17:K17)</f>
        <v>0</v>
      </c>
      <c r="Q17" s="4"/>
    </row>
    <row r="18" spans="2:17" s="3" customFormat="1">
      <c r="B18" s="4" t="s">
        <v>49</v>
      </c>
      <c r="C18" s="65" t="s">
        <v>37</v>
      </c>
      <c r="D18" s="66"/>
      <c r="E18" s="54" t="s">
        <v>44</v>
      </c>
      <c r="F18" s="58">
        <v>1</v>
      </c>
      <c r="G18" s="18" t="s">
        <v>3</v>
      </c>
      <c r="H18" s="19">
        <f t="shared" si="2"/>
        <v>3660.6469999999999</v>
      </c>
      <c r="I18" s="17">
        <f t="shared" si="3"/>
        <v>3660.6469999999999</v>
      </c>
      <c r="J18" s="55">
        <v>2760.6469999999999</v>
      </c>
      <c r="K18" s="63"/>
      <c r="L18" s="4"/>
      <c r="M18" s="4">
        <f t="shared" si="5"/>
        <v>0</v>
      </c>
      <c r="N18" s="4">
        <f t="shared" si="6"/>
        <v>0</v>
      </c>
      <c r="O18" s="21">
        <f t="shared" si="7"/>
        <v>2.52</v>
      </c>
      <c r="P18" s="4" cm="1">
        <f t="array" ref="P18">SUM(F18*J18:K18)</f>
        <v>2760.6469999999999</v>
      </c>
      <c r="Q18" s="4"/>
    </row>
    <row r="19" spans="2:17" s="3" customFormat="1">
      <c r="B19" s="4" t="s">
        <v>50</v>
      </c>
      <c r="C19" s="65" t="s">
        <v>38</v>
      </c>
      <c r="D19" s="66"/>
      <c r="E19" s="54" t="s">
        <v>45</v>
      </c>
      <c r="F19" s="58">
        <v>1</v>
      </c>
      <c r="G19" s="18" t="s">
        <v>3</v>
      </c>
      <c r="H19" s="19">
        <f t="shared" si="2"/>
        <v>5938.6064999999999</v>
      </c>
      <c r="I19" s="17">
        <f t="shared" si="3"/>
        <v>5938.6064999999999</v>
      </c>
      <c r="J19" s="55">
        <v>4438.6064999999999</v>
      </c>
      <c r="K19" s="63"/>
      <c r="L19" s="4"/>
      <c r="M19" s="4">
        <f t="shared" si="5"/>
        <v>0</v>
      </c>
      <c r="N19" s="4">
        <f t="shared" si="6"/>
        <v>0</v>
      </c>
      <c r="O19" s="57">
        <f t="shared" si="7"/>
        <v>9.6348000000000003</v>
      </c>
      <c r="P19" s="4" cm="1">
        <f t="array" ref="P19">SUM(F19*J19:K19)</f>
        <v>4438.6064999999999</v>
      </c>
      <c r="Q19" s="4"/>
    </row>
    <row r="20" spans="2:17" s="3" customFormat="1">
      <c r="B20" s="4" t="s">
        <v>50</v>
      </c>
      <c r="C20" s="71" t="s">
        <v>39</v>
      </c>
      <c r="D20" s="72"/>
      <c r="E20" s="54" t="s">
        <v>46</v>
      </c>
      <c r="F20" s="58">
        <v>1</v>
      </c>
      <c r="G20" s="18"/>
      <c r="H20" s="19">
        <f t="shared" si="2"/>
        <v>8654.8244999999988</v>
      </c>
      <c r="I20" s="17">
        <f t="shared" si="3"/>
        <v>8654.8244999999988</v>
      </c>
      <c r="J20" s="55">
        <v>6154.8244999999997</v>
      </c>
      <c r="K20" s="63"/>
      <c r="L20" s="4">
        <v>1000</v>
      </c>
      <c r="M20" s="4">
        <f t="shared" si="5"/>
        <v>0</v>
      </c>
      <c r="N20" s="4">
        <f t="shared" si="6"/>
        <v>0</v>
      </c>
      <c r="O20" s="57">
        <f t="shared" si="7"/>
        <v>13.57</v>
      </c>
      <c r="P20" s="4" cm="1">
        <f t="array" ref="P20">SUM(F20*J20:K20)</f>
        <v>6154.8244999999997</v>
      </c>
      <c r="Q20" s="4"/>
    </row>
    <row r="21" spans="2:17" s="3" customFormat="1" ht="15.75" thickBot="1">
      <c r="B21" s="4"/>
      <c r="C21" s="77"/>
      <c r="D21" s="78"/>
      <c r="E21" s="62"/>
      <c r="F21" s="58"/>
      <c r="G21" s="18"/>
      <c r="H21" s="19"/>
      <c r="I21" s="17"/>
      <c r="J21" s="55"/>
      <c r="K21" s="4"/>
      <c r="L21" s="4"/>
      <c r="M21" s="4">
        <f t="shared" si="5"/>
        <v>0</v>
      </c>
      <c r="N21" s="4">
        <f t="shared" si="6"/>
        <v>0</v>
      </c>
      <c r="O21" s="57" t="e">
        <f t="shared" si="7"/>
        <v>#VALUE!</v>
      </c>
      <c r="P21" s="4">
        <f>SUM(P9:P20)</f>
        <v>22411.768</v>
      </c>
      <c r="Q21" s="4"/>
    </row>
    <row r="22" spans="2:17" s="3" customFormat="1" ht="15" customHeight="1">
      <c r="C22" s="48"/>
      <c r="D22" s="49"/>
      <c r="E22" s="38"/>
      <c r="F22" s="38"/>
      <c r="G22" s="76" t="s">
        <v>9</v>
      </c>
      <c r="H22" s="76"/>
      <c r="I22" s="50" cm="1">
        <f t="array" ref="I22">SUMPRODUCT((B9:B21="CW")*F9:F21*N9:N21)+SUMPRODUCT(F9:F21*IF(B9:B21="SUPD",250,IF(B9:B21="DUPD",500,IF(B9:B21="SAD",250,IF(B9:B21="DAD",500,IF(B9:B21="ELAW",250,IF(B9:B21="LAW",160,IF(B9:B21="MAW",160,IF(B9:B21="SAW",160,IF(B9:B21="LPVC",160,IF(B9:B21="MPVC",160,IF(B9:B21="SPVC",160,IF(B9:B21="SADLAW",410,IF(B9:B21="SADMAW",410,IF(B9:B21="SADSAW",410,0)))))))))))))))</f>
        <v>3620</v>
      </c>
      <c r="J22" s="4"/>
      <c r="K22" s="4"/>
      <c r="L22" s="4"/>
      <c r="M22" s="4"/>
      <c r="N22" s="4"/>
      <c r="O22" s="4"/>
      <c r="P22" s="4"/>
      <c r="Q22" s="4"/>
    </row>
    <row r="23" spans="2:17" s="3" customFormat="1" ht="15" customHeight="1">
      <c r="C23" s="51"/>
      <c r="D23" s="59"/>
      <c r="E23" s="43"/>
      <c r="F23" s="43"/>
      <c r="G23" s="43"/>
      <c r="H23" s="43"/>
      <c r="I23" s="52"/>
      <c r="J23" s="4"/>
      <c r="K23" s="4" t="s">
        <v>16</v>
      </c>
      <c r="L23" s="4"/>
      <c r="M23" s="4"/>
      <c r="N23" s="4"/>
      <c r="O23" s="4"/>
      <c r="P23" s="4"/>
      <c r="Q23" s="4"/>
    </row>
    <row r="24" spans="2:17" s="3" customFormat="1" ht="13.5">
      <c r="C24" s="40"/>
      <c r="D24" s="30"/>
      <c r="E24" s="30"/>
      <c r="F24" s="43"/>
      <c r="G24" s="43"/>
      <c r="H24" s="43" t="s">
        <v>18</v>
      </c>
      <c r="I24" s="31">
        <f>SUM(I9:I23)</f>
        <v>39006.767999999996</v>
      </c>
      <c r="J24" s="4"/>
      <c r="K24" s="4"/>
      <c r="L24" s="4"/>
      <c r="M24" s="4"/>
      <c r="N24" s="4"/>
      <c r="O24" s="4"/>
      <c r="P24" s="4"/>
      <c r="Q24" s="4"/>
    </row>
    <row r="25" spans="2:17" s="3" customFormat="1" ht="14.25" thickBot="1">
      <c r="C25" s="45"/>
      <c r="D25" s="32"/>
      <c r="E25" s="32"/>
      <c r="F25" s="53"/>
      <c r="G25" s="53"/>
      <c r="H25" s="53"/>
      <c r="I25" s="33"/>
      <c r="J25" s="4"/>
      <c r="K25" s="4"/>
      <c r="L25" s="4"/>
      <c r="M25" s="4"/>
      <c r="N25" s="4"/>
      <c r="O25" s="4"/>
      <c r="P25" s="4"/>
      <c r="Q25" s="4"/>
    </row>
    <row r="26" spans="2:17" s="3" customFormat="1" ht="5.45" customHeight="1" thickBot="1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2:17" s="3" customFormat="1" ht="15.75">
      <c r="C27" s="36"/>
      <c r="D27" s="60" t="s">
        <v>11</v>
      </c>
      <c r="E27" s="37"/>
      <c r="F27" s="38"/>
      <c r="G27" s="38"/>
      <c r="H27" s="38"/>
      <c r="I27" s="39"/>
      <c r="J27" s="4"/>
      <c r="K27" s="4"/>
      <c r="L27" s="4"/>
      <c r="M27" s="4"/>
      <c r="N27" s="4"/>
      <c r="O27" s="4"/>
      <c r="P27" s="4"/>
      <c r="Q27" s="4"/>
    </row>
    <row r="28" spans="2:17" s="3" customFormat="1">
      <c r="C28" s="40"/>
      <c r="D28" s="41"/>
      <c r="E28" s="42"/>
      <c r="F28" s="75" t="s">
        <v>22</v>
      </c>
      <c r="G28" s="75"/>
      <c r="H28" s="75"/>
      <c r="I28" s="44" cm="1">
        <f t="array" ref="I28">SUMPRODUCT(
IFERROR(
(
(
(VALUE(TRIM(LEFT($E$10:$E$61,FIND("x",$E$10:$E$61)-1))))+
(VALUE(TRIM(MID($E$10:$E$61,FIND("x",$E$10:$E$61)+1,LEN($E$10:$E$61)))))
)*2/1000*5
)*$F$10:$F$61,
0
)
)</f>
        <v>537.69000000000005</v>
      </c>
      <c r="J28" s="4"/>
      <c r="K28" s="4"/>
      <c r="L28" s="4"/>
      <c r="M28" s="4"/>
      <c r="N28" s="4"/>
      <c r="O28" s="4"/>
      <c r="P28" s="4"/>
      <c r="Q28" s="4"/>
    </row>
    <row r="29" spans="2:17" s="3" customFormat="1">
      <c r="C29" s="40"/>
      <c r="D29" s="41"/>
      <c r="E29" s="42"/>
      <c r="F29" s="75" t="s">
        <v>24</v>
      </c>
      <c r="G29" s="75"/>
      <c r="H29" s="75"/>
      <c r="I29" s="44" cm="1">
        <f t="array" ref="I29">SUMPRODUCT(
  IFERROR(
    ((VALUE(TRIM(LEFT($E$10:$E$61,FIND("x",$E$10:$E$61)-1)))/1000) *
     (VALUE(TRIM(MID($E$10:$E$61,FIND("x",$E$10:$E$61)+1,LEN($E$10:$E$61))))/1000) *
     25) * $F$10:$F$61,
    0
  )
)</f>
        <v>1434.5500000000002</v>
      </c>
      <c r="J29" s="4"/>
      <c r="K29" s="4"/>
      <c r="L29" s="4"/>
      <c r="M29" s="4" t="s">
        <v>17</v>
      </c>
      <c r="N29" s="4"/>
      <c r="O29" s="4"/>
      <c r="P29" s="4"/>
      <c r="Q29" s="4"/>
    </row>
    <row r="30" spans="2:17" s="3" customFormat="1" ht="19.5" thickBot="1">
      <c r="C30" s="45"/>
      <c r="D30" s="46"/>
      <c r="E30" s="46"/>
      <c r="F30" s="46"/>
      <c r="G30" s="46"/>
      <c r="H30" s="46"/>
      <c r="I30" s="47"/>
      <c r="J30" s="4"/>
      <c r="K30" s="5"/>
      <c r="L30" s="4"/>
      <c r="M30" s="4"/>
      <c r="N30" s="4"/>
      <c r="O30" s="4"/>
      <c r="P30" s="4"/>
      <c r="Q30" s="4"/>
    </row>
    <row r="31" spans="2:17">
      <c r="C31" s="24" t="s">
        <v>20</v>
      </c>
      <c r="D31" s="20"/>
      <c r="E31" s="20"/>
    </row>
    <row r="32" spans="2:17">
      <c r="C32" s="25" t="s">
        <v>19</v>
      </c>
      <c r="D32" s="20"/>
      <c r="E32" s="20"/>
    </row>
    <row r="33" spans="3:5">
      <c r="C33" s="23"/>
      <c r="D33" s="20"/>
      <c r="E33" s="20"/>
    </row>
    <row r="34" spans="3:5">
      <c r="C34" s="23"/>
      <c r="D34" s="20"/>
      <c r="E34" s="20"/>
    </row>
    <row r="35" spans="3:5">
      <c r="C35" s="23"/>
      <c r="D35" s="20"/>
      <c r="E35" s="20"/>
    </row>
    <row r="36" spans="3:5">
      <c r="C36" s="23"/>
      <c r="D36" s="20"/>
      <c r="E36" s="20"/>
    </row>
  </sheetData>
  <mergeCells count="18">
    <mergeCell ref="F28:H28"/>
    <mergeCell ref="F29:H29"/>
    <mergeCell ref="G22:H22"/>
    <mergeCell ref="C21:D21"/>
    <mergeCell ref="C19:D19"/>
    <mergeCell ref="C20:D20"/>
    <mergeCell ref="C18:D18"/>
    <mergeCell ref="C7:D7"/>
    <mergeCell ref="C8:D8"/>
    <mergeCell ref="C9:D9"/>
    <mergeCell ref="C16:D16"/>
    <mergeCell ref="C17:D17"/>
    <mergeCell ref="C10:D10"/>
    <mergeCell ref="C11:D11"/>
    <mergeCell ref="C12:D12"/>
    <mergeCell ref="C13:D13"/>
    <mergeCell ref="C14:D14"/>
    <mergeCell ref="C15:D1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9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E029A084523C4C9690FE69933833E4" ma:contentTypeVersion="13" ma:contentTypeDescription="Create a new document." ma:contentTypeScope="" ma:versionID="ea0102621c254a52cce962875d17cc19">
  <xsd:schema xmlns:xsd="http://www.w3.org/2001/XMLSchema" xmlns:xs="http://www.w3.org/2001/XMLSchema" xmlns:p="http://schemas.microsoft.com/office/2006/metadata/properties" xmlns:ns2="359e9d9c-6da6-4414-8f33-9b1e23a086bd" xmlns:ns3="4e5a12e3-a629-4321-b9bc-d3f635bdafe6" targetNamespace="http://schemas.microsoft.com/office/2006/metadata/properties" ma:root="true" ma:fieldsID="d5c8fb579f508b6898d48401d08065f5" ns2:_="" ns3:_="">
    <xsd:import namespace="359e9d9c-6da6-4414-8f33-9b1e23a086bd"/>
    <xsd:import namespace="4e5a12e3-a629-4321-b9bc-d3f635bdaf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e9d9c-6da6-4414-8f33-9b1e23a08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3be254-cc43-47b8-9a5a-09ba0c7846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a12e3-a629-4321-b9bc-d3f635bdaf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71da778-5d1f-4e83-8ad3-6b840307155b}" ma:internalName="TaxCatchAll" ma:showField="CatchAllData" ma:web="4e5a12e3-a629-4321-b9bc-d3f635bdaf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9e9d9c-6da6-4414-8f33-9b1e23a086bd">
      <Terms xmlns="http://schemas.microsoft.com/office/infopath/2007/PartnerControls"/>
    </lcf76f155ced4ddcb4097134ff3c332f>
    <TaxCatchAll xmlns="4e5a12e3-a629-4321-b9bc-d3f635bdafe6" xsi:nil="true"/>
  </documentManagement>
</p:properties>
</file>

<file path=customXml/itemProps1.xml><?xml version="1.0" encoding="utf-8"?>
<ds:datastoreItem xmlns:ds="http://schemas.openxmlformats.org/officeDocument/2006/customXml" ds:itemID="{E37FF949-1FAB-46F5-BBAC-EC8481410C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9e9d9c-6da6-4414-8f33-9b1e23a086bd"/>
    <ds:schemaRef ds:uri="4e5a12e3-a629-4321-b9bc-d3f635bdaf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6D7275-3704-4AF1-B8E2-7009E079FB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8D9E55-B511-40D0-AFC6-817AEF118AF9}">
  <ds:schemaRefs>
    <ds:schemaRef ds:uri="359e9d9c-6da6-4414-8f33-9b1e23a086bd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e5a12e3-a629-4321-b9bc-d3f635bdaf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Pricing Document </vt:lpstr>
      <vt:lpstr>'Pricing Document '!Print_Area</vt:lpstr>
      <vt:lpstr>'Pricing Document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Parker;dan.parker@agsurveying.co.uk</dc:creator>
  <cp:lastModifiedBy>Fenster Glazing</cp:lastModifiedBy>
  <cp:lastPrinted>2026-03-04T15:45:18Z</cp:lastPrinted>
  <dcterms:created xsi:type="dcterms:W3CDTF">2018-12-07T08:13:03Z</dcterms:created>
  <dcterms:modified xsi:type="dcterms:W3CDTF">2026-07-29T13:03:28Z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0x010100BBE029A084523C4C9690FE69933833E4</vt:lpwstr>
  </property>
  <property fmtid="{D5CDD505-2E9C-101B-9397-08002B2CF9AE}" pid="3" name="MediaServiceImageTags">
    <vt:lpwstr/>
  </property>
</Properties>
</file>